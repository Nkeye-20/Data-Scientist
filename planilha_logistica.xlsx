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 PROBOO\Downloads\"/>
    </mc:Choice>
  </mc:AlternateContent>
  <xr:revisionPtr revIDLastSave="0" documentId="13_ncr:1_{A6C561AA-416B-4886-B02D-2509D46AA0F5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Logistica" sheetId="1" r:id="rId1"/>
    <sheet name="Planilha1" sheetId="2" r:id="rId2"/>
    <sheet name="Planilha3" sheetId="4" r:id="rId3"/>
  </sheets>
  <definedNames>
    <definedName name="SegmentaçãodeDados_Origem">#N/A</definedName>
    <definedName name="SegmentaçãodeDados_Status_Entrega">#N/A</definedName>
  </definedNames>
  <calcPr calcId="191029"/>
  <pivotCaches>
    <pivotCache cacheId="5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R5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R19" i="1"/>
  <c r="R15" i="1"/>
  <c r="R9" i="1"/>
  <c r="R12" i="1"/>
</calcChain>
</file>

<file path=xl/sharedStrings.xml><?xml version="1.0" encoding="utf-8"?>
<sst xmlns="http://schemas.openxmlformats.org/spreadsheetml/2006/main" count="437" uniqueCount="129">
  <si>
    <t>ID_Envio</t>
  </si>
  <si>
    <t>Data_Envio</t>
  </si>
  <si>
    <t>Origem</t>
  </si>
  <si>
    <t>Destino</t>
  </si>
  <si>
    <t>Transportadora</t>
  </si>
  <si>
    <t>Tipo_Carga</t>
  </si>
  <si>
    <t>Peso_kg</t>
  </si>
  <si>
    <t>Volume_m3</t>
  </si>
  <si>
    <t>Status_Entrega</t>
  </si>
  <si>
    <t>Tempo_Entrega_Dias</t>
  </si>
  <si>
    <t>Custo_Transporte_USD</t>
  </si>
  <si>
    <t>Motorista</t>
  </si>
  <si>
    <t>Veiculo</t>
  </si>
  <si>
    <t>Prioridade</t>
  </si>
  <si>
    <t>Armazem</t>
  </si>
  <si>
    <t>LOG1002</t>
  </si>
  <si>
    <t>05/04/2026</t>
  </si>
  <si>
    <t>Huambo</t>
  </si>
  <si>
    <t>Uíge</t>
  </si>
  <si>
    <t>RoadLink</t>
  </si>
  <si>
    <t>Roupas</t>
  </si>
  <si>
    <t>Entregue</t>
  </si>
  <si>
    <t>Carlos Manuel</t>
  </si>
  <si>
    <t>Van C78</t>
  </si>
  <si>
    <t>Alta</t>
  </si>
  <si>
    <t>Armazém Sul</t>
  </si>
  <si>
    <t>LOG1003</t>
  </si>
  <si>
    <t>12/01/2026</t>
  </si>
  <si>
    <t>Lubango</t>
  </si>
  <si>
    <t>João Pedro</t>
  </si>
  <si>
    <t>Armazém Norte</t>
  </si>
  <si>
    <t>LOG1004</t>
  </si>
  <si>
    <t>05/03/2026</t>
  </si>
  <si>
    <t>Benguela</t>
  </si>
  <si>
    <t>TransLog</t>
  </si>
  <si>
    <t>Alimentos</t>
  </si>
  <si>
    <t>Processando</t>
  </si>
  <si>
    <t>Paulo Gomes</t>
  </si>
  <si>
    <t>Truck D90</t>
  </si>
  <si>
    <t>LOG1005</t>
  </si>
  <si>
    <t>19/01/2026</t>
  </si>
  <si>
    <t>Sumbe</t>
  </si>
  <si>
    <t>FastCargo</t>
  </si>
  <si>
    <t>Mateus Silva</t>
  </si>
  <si>
    <t>Armazém Central</t>
  </si>
  <si>
    <t>LOG1006</t>
  </si>
  <si>
    <t>06/03/2026</t>
  </si>
  <si>
    <t>Luanda</t>
  </si>
  <si>
    <t>Namibe</t>
  </si>
  <si>
    <t>AngoExpress</t>
  </si>
  <si>
    <t>LOG1007</t>
  </si>
  <si>
    <t>22/04/2026</t>
  </si>
  <si>
    <t>Malanje</t>
  </si>
  <si>
    <t>Medicamentos</t>
  </si>
  <si>
    <t>Em trânsito</t>
  </si>
  <si>
    <t>Camião B45</t>
  </si>
  <si>
    <t>LOG1008</t>
  </si>
  <si>
    <t>28/04/2026</t>
  </si>
  <si>
    <t>Média</t>
  </si>
  <si>
    <t>LOG1009</t>
  </si>
  <si>
    <t>29/03/2026</t>
  </si>
  <si>
    <t>Peças Automóveis</t>
  </si>
  <si>
    <t>Baixa</t>
  </si>
  <si>
    <t>LOG1010</t>
  </si>
  <si>
    <t>14/01/2026</t>
  </si>
  <si>
    <t>Atrasado</t>
  </si>
  <si>
    <t>LOG1011</t>
  </si>
  <si>
    <t>07/02/2026</t>
  </si>
  <si>
    <t>Soyo</t>
  </si>
  <si>
    <t>LOG1012</t>
  </si>
  <si>
    <t>27/04/2026</t>
  </si>
  <si>
    <t>LOG1013</t>
  </si>
  <si>
    <t>10/03/2026</t>
  </si>
  <si>
    <t>LOG1014</t>
  </si>
  <si>
    <t>06/01/2026</t>
  </si>
  <si>
    <t>Eletrônicos</t>
  </si>
  <si>
    <t>LOG1015</t>
  </si>
  <si>
    <t>24/02/2026</t>
  </si>
  <si>
    <t>António José</t>
  </si>
  <si>
    <t>LOG1016</t>
  </si>
  <si>
    <t>17/02/2026</t>
  </si>
  <si>
    <t>LOG1017</t>
  </si>
  <si>
    <t>13/01/2026</t>
  </si>
  <si>
    <t>Camião A12</t>
  </si>
  <si>
    <t>LOG1018</t>
  </si>
  <si>
    <t>30/04/2026</t>
  </si>
  <si>
    <t>LOG1019</t>
  </si>
  <si>
    <t>23/01/2026</t>
  </si>
  <si>
    <t>Cabinda</t>
  </si>
  <si>
    <t>LOG1020</t>
  </si>
  <si>
    <t>11/02/2026</t>
  </si>
  <si>
    <t>LOG1021</t>
  </si>
  <si>
    <t>01/03/2026</t>
  </si>
  <si>
    <t>LOG1022</t>
  </si>
  <si>
    <t>27/03/2026</t>
  </si>
  <si>
    <t>LOG1023</t>
  </si>
  <si>
    <t>04/03/2026</t>
  </si>
  <si>
    <t>LOG1024</t>
  </si>
  <si>
    <t>28/03/2026</t>
  </si>
  <si>
    <t>LOG1025</t>
  </si>
  <si>
    <t>08/01/2026</t>
  </si>
  <si>
    <t>LOG1026</t>
  </si>
  <si>
    <t>LOG1027</t>
  </si>
  <si>
    <t>LOG1028</t>
  </si>
  <si>
    <t>13/04/2026</t>
  </si>
  <si>
    <t>LOG1029</t>
  </si>
  <si>
    <t>24/01/2026</t>
  </si>
  <si>
    <t>LOG1030</t>
  </si>
  <si>
    <t>18/04/2026</t>
  </si>
  <si>
    <t>LOG1031</t>
  </si>
  <si>
    <t>06/04/2026</t>
  </si>
  <si>
    <t>LOG1032</t>
  </si>
  <si>
    <t>LOG1033</t>
  </si>
  <si>
    <t>17/01/2026</t>
  </si>
  <si>
    <t>LOG1034</t>
  </si>
  <si>
    <t>05/01/2026</t>
  </si>
  <si>
    <t>LOG1035</t>
  </si>
  <si>
    <t>03/03/2026</t>
  </si>
  <si>
    <t>LOG1036</t>
  </si>
  <si>
    <t>14/03/2026</t>
  </si>
  <si>
    <t>Soma de Custo_Transporte_USD</t>
  </si>
  <si>
    <t>Soma de Peso_kg</t>
  </si>
  <si>
    <t>Total de Custo_Transporte</t>
  </si>
  <si>
    <t>Média de Tempo_Entrega_Dias</t>
  </si>
  <si>
    <t>Contagem de Status_Entrega</t>
  </si>
  <si>
    <t>Média de Custo_Transporte_USD</t>
  </si>
  <si>
    <t>Máx. de Custo_Transporte_USD</t>
  </si>
  <si>
    <t>Condição_Peso</t>
  </si>
  <si>
    <t>Mín. de Custo_Transporte_USD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</si>
</sst>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6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4" fontId="0" fillId="3" borderId="0" xfId="0" applyNumberFormat="1" applyFill="1"/>
    <xf numFmtId="0" fontId="0" fillId="3" borderId="0" xfId="0" applyFill="1"/>
    <xf numFmtId="44" fontId="0" fillId="3" borderId="0" xfId="0" applyNumberFormat="1" applyFill="1" applyAlignment="1">
      <alignment horizontal="left"/>
    </xf>
    <xf numFmtId="1" fontId="0" fillId="3" borderId="0" xfId="0" applyNumberFormat="1" applyFill="1"/>
    <xf numFmtId="2" fontId="0" fillId="0" borderId="0" xfId="0" applyNumberFormat="1"/>
    <xf numFmtId="166" fontId="0" fillId="3" borderId="0" xfId="0" applyNumberFormat="1" applyFill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539"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166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" formatCode="0"/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Custo por Transportadora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"/>
              <c:y val="-6.2015493781685277E-2"/>
            </c:manualLayout>
          </c:layout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1"/>
              <c:layout>
                <c:manualLayout>
                  <c:x val="0"/>
                  <c:y val="-6.2015493781685277E-2"/>
                </c:manualLayout>
              </c:layout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bg1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Planilha1!$A$4:$A$7</c:f>
              <c:strCache>
                <c:ptCount val="4"/>
                <c:pt idx="0">
                  <c:v>AngoExpress</c:v>
                </c:pt>
                <c:pt idx="1">
                  <c:v>FastCargo</c:v>
                </c:pt>
                <c:pt idx="2">
                  <c:v>RoadLink</c:v>
                </c:pt>
                <c:pt idx="3">
                  <c:v>TransLog</c:v>
                </c:pt>
              </c:strCache>
            </c:strRef>
          </c:cat>
          <c:val>
            <c:numRef>
              <c:f>Planilha1!$B$4:$B$7</c:f>
              <c:numCache>
                <c:formatCode>_("€"* #,##0.00_);_("€"* \(#,##0.00\);_("€"* "-"??_);_(@_)</c:formatCode>
                <c:ptCount val="4"/>
                <c:pt idx="0">
                  <c:v>41242.1</c:v>
                </c:pt>
                <c:pt idx="1">
                  <c:v>44371.56</c:v>
                </c:pt>
                <c:pt idx="2">
                  <c:v>35231.089999999997</c:v>
                </c:pt>
                <c:pt idx="3">
                  <c:v>99731.99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07-454F-8442-30CC04194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8326847"/>
        <c:axId val="178328287"/>
      </c:barChart>
      <c:valAx>
        <c:axId val="1783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26847"/>
        <c:crosses val="autoZero"/>
        <c:crossBetween val="between"/>
      </c:valAx>
      <c:catAx>
        <c:axId val="17832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2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Média de Tempo_Entrega_Dias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Planilha1!$B$11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" lastClr="FFFFFF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Planilha1!$A$12:$A$15</c:f>
              <c:strCache>
                <c:ptCount val="4"/>
                <c:pt idx="0">
                  <c:v>AngoExpress</c:v>
                </c:pt>
                <c:pt idx="1">
                  <c:v>FastCargo</c:v>
                </c:pt>
                <c:pt idx="2">
                  <c:v>RoadLink</c:v>
                </c:pt>
                <c:pt idx="3">
                  <c:v>TransLog</c:v>
                </c:pt>
              </c:strCache>
            </c:strRef>
          </c:cat>
          <c:val>
            <c:numRef>
              <c:f>Planilha1!$B$12:$B$15</c:f>
              <c:numCache>
                <c:formatCode>0</c:formatCode>
                <c:ptCount val="4"/>
                <c:pt idx="0">
                  <c:v>8.5555555555555554</c:v>
                </c:pt>
                <c:pt idx="1">
                  <c:v>9</c:v>
                </c:pt>
                <c:pt idx="2">
                  <c:v>7.8571428571428568</c:v>
                </c:pt>
                <c:pt idx="3">
                  <c:v>9.6666666666666661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4-4072-9405-5F9645F654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5213135"/>
        <c:axId val="105215055"/>
        <c:axId val="0"/>
      </c:bar3DChart>
      <c:catAx>
        <c:axId val="10521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215055"/>
        <c:crosses val="autoZero"/>
        <c:auto val="1"/>
        <c:lblAlgn val="ctr"/>
        <c:lblOffset val="100"/>
        <c:noMultiLvlLbl val="0"/>
      </c:catAx>
      <c:valAx>
        <c:axId val="1052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213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de Entrega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Planilha1!$D$3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32A-46E1-A692-9CD50B36C56E}"/>
              </c:ext>
            </c:extLst>
          </c:dPt>
          <c:dLbls>
            <c:spPr>
              <a:solidFill>
                <a:schemeClr val="lt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Planilha1!$D$4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Planilha1!$D$4</c:f>
              <c:numCache>
                <c:formatCode>0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2A-46E1-A692-9CD50B36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dinâmica9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Peso Total por Tipo de Carga Kg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Planilha1!$E$7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E06-4846-93E5-C4C61D332A32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E06-4846-93E5-C4C61D332A32}"/>
                </c:ext>
              </c:extLst>
            </c:dLbl>
            <c:dLbl>
              <c:idx val="2"/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E06-4846-93E5-C4C61D332A32}"/>
                </c:ext>
              </c:extLst>
            </c:dLbl>
            <c:dLbl>
              <c:idx val="3"/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E06-4846-93E5-C4C61D332A32}"/>
                </c:ext>
              </c:extLst>
            </c:dLbl>
            <c:dLbl>
              <c:idx val="4"/>
              <c:spPr>
                <a:solidFill>
                  <a:schemeClr val="lt1"/>
                </a:solidFill>
                <a:ln w="2540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E06-4846-93E5-C4C61D332A3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Planilha1!$D$8:$D$12</c:f>
              <c:strCache>
                <c:ptCount val="5"/>
                <c:pt idx="0">
                  <c:v>Alimentos</c:v>
                </c:pt>
                <c:pt idx="1">
                  <c:v>Eletrônicos</c:v>
                </c:pt>
                <c:pt idx="2">
                  <c:v>Medicamentos</c:v>
                </c:pt>
                <c:pt idx="3">
                  <c:v>Peças Automóveis</c:v>
                </c:pt>
                <c:pt idx="4">
                  <c:v>Roupas</c:v>
                </c:pt>
              </c:strCache>
            </c:strRef>
          </c:cat>
          <c:val>
            <c:numRef>
              <c:f>Planilha1!$E$8:$E$12</c:f>
              <c:numCache>
                <c:formatCode>0</c:formatCode>
                <c:ptCount val="5"/>
                <c:pt idx="0">
                  <c:v>18182</c:v>
                </c:pt>
                <c:pt idx="1">
                  <c:v>10799</c:v>
                </c:pt>
                <c:pt idx="2">
                  <c:v>33453</c:v>
                </c:pt>
                <c:pt idx="3">
                  <c:v>13074</c:v>
                </c:pt>
                <c:pt idx="4">
                  <c:v>18921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06-4846-93E5-C4C61D332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429623503"/>
        <c:axId val="429623983"/>
      </c:barChart>
      <c:catAx>
        <c:axId val="429623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23983"/>
        <c:crosses val="autoZero"/>
        <c:auto val="1"/>
        <c:lblAlgn val="ctr"/>
        <c:lblOffset val="100"/>
        <c:noMultiLvlLbl val="0"/>
      </c:catAx>
      <c:valAx>
        <c:axId val="42962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2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dinâmica10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Custo</a:t>
            </a:r>
            <a:r>
              <a:rPr lang="en-US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Médio por Armazem</a:t>
            </a:r>
            <a:endParaRPr lang="en-US">
              <a:blipFill>
                <a:blip xmlns:r="http://schemas.openxmlformats.org/officeDocument/2006/relationships" r:embed="rId3"/>
                <a:tile tx="0" ty="0" sx="100000" sy="100000" flip="none" algn="tl"/>
              </a:blipFill>
            </a:endParaRPr>
          </a:p>
        </c:rich>
      </c:tx>
      <c:overlay val="0"/>
      <c:spPr>
        <a:solidFill>
          <a:schemeClr val="dk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Planilha1!$E$15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Planilha1!$D$16:$D$18</c:f>
              <c:strCache>
                <c:ptCount val="3"/>
                <c:pt idx="0">
                  <c:v>Armazém Central</c:v>
                </c:pt>
                <c:pt idx="1">
                  <c:v>Armazém Norte</c:v>
                </c:pt>
                <c:pt idx="2">
                  <c:v>Armazém Sul</c:v>
                </c:pt>
              </c:strCache>
            </c:strRef>
          </c:cat>
          <c:val>
            <c:numRef>
              <c:f>Planilha1!$E$16:$E$18</c:f>
              <c:numCache>
                <c:formatCode>#\ ##0.00\ "€"</c:formatCode>
                <c:ptCount val="3"/>
                <c:pt idx="0">
                  <c:v>6550.1641666666665</c:v>
                </c:pt>
                <c:pt idx="1">
                  <c:v>6445.5862500000003</c:v>
                </c:pt>
                <c:pt idx="2">
                  <c:v>6027.3386666666675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7-4B51-958C-396DC0BFE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501631"/>
        <c:axId val="507502591"/>
      </c:lineChart>
      <c:catAx>
        <c:axId val="5075016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7502591"/>
        <c:crosses val="autoZero"/>
        <c:auto val="1"/>
        <c:lblAlgn val="ctr"/>
        <c:lblOffset val="100"/>
        <c:noMultiLvlLbl val="0"/>
      </c:catAx>
      <c:valAx>
        <c:axId val="507502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750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dinâmica11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</a:t>
            </a:r>
            <a:r>
              <a:rPr lang="en-US" baseline="0"/>
              <a:t> Máximo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Planilha1!$A$19</c:f>
              <c:numCache>
                <c:formatCode>0</c:formatCode>
                <c:ptCount val="1"/>
                <c:pt idx="0">
                  <c:v>14627.84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4-4569-9632-ADF31725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1651567"/>
        <c:axId val="981652527"/>
      </c:barChart>
      <c:catAx>
        <c:axId val="98165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1652527"/>
        <c:crosses val="autoZero"/>
        <c:auto val="1"/>
        <c:lblAlgn val="ctr"/>
        <c:lblOffset val="100"/>
        <c:noMultiLvlLbl val="0"/>
      </c:catAx>
      <c:valAx>
        <c:axId val="9816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165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dinâmica13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</a:t>
            </a:r>
            <a:r>
              <a:rPr lang="en-US" baseline="0"/>
              <a:t> Minimo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Planilha1!$B$23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Planilha1!$B$23</c:f>
              <c:numCache>
                <c:formatCode>0</c:formatCode>
                <c:ptCount val="1"/>
                <c:pt idx="0">
                  <c:v>552.89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F-4B63-AF0A-ECECAB968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318687"/>
        <c:axId val="178317727"/>
      </c:barChart>
      <c:catAx>
        <c:axId val="17831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17727"/>
        <c:crosses val="autoZero"/>
        <c:auto val="1"/>
        <c:lblAlgn val="ctr"/>
        <c:lblOffset val="100"/>
        <c:noMultiLvlLbl val="0"/>
      </c:catAx>
      <c:valAx>
        <c:axId val="17831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1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dinâmica14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 Entrega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Planilha1!$A$25</c:f>
              <c:numCache>
                <c:formatCode>0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2-4ED3-972E-8FB69EE3D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4798063"/>
        <c:axId val="254791823"/>
      </c:barChart>
      <c:catAx>
        <c:axId val="25479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4791823"/>
        <c:crosses val="autoZero"/>
        <c:auto val="1"/>
        <c:lblAlgn val="ctr"/>
        <c:lblOffset val="100"/>
        <c:noMultiLvlLbl val="0"/>
      </c:catAx>
      <c:valAx>
        <c:axId val="2547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479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dinâmica16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Custo</a:t>
            </a:r>
            <a:r>
              <a:rPr lang="pt-BR" baseline="0"/>
              <a:t> Total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Planilha1!$C$26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Planilha1!$C$26</c:f>
              <c:numCache>
                <c:formatCode>0</c:formatCode>
                <c:ptCount val="1"/>
                <c:pt idx="0">
                  <c:v>220576.74000000002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4-4C1D-9127-83E8B3D7D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7882079"/>
        <c:axId val="497882559"/>
      </c:barChart>
      <c:catAx>
        <c:axId val="49788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882559"/>
        <c:crosses val="autoZero"/>
        <c:auto val="1"/>
        <c:lblAlgn val="ctr"/>
        <c:lblOffset val="100"/>
        <c:noMultiLvlLbl val="0"/>
      </c:catAx>
      <c:valAx>
        <c:axId val="49788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88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[planilha_logistica.xlsx]Planilha1!Tabela dinâmica18</c:name>
    <c:fmtId val="8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Peso do Destino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Planilha1!$A$28:$A$32</c:f>
              <c:strCache>
                <c:ptCount val="5"/>
                <c:pt idx="0">
                  <c:v>Malanje</c:v>
                </c:pt>
                <c:pt idx="1">
                  <c:v>Namibe</c:v>
                </c:pt>
                <c:pt idx="2">
                  <c:v>Soyo</c:v>
                </c:pt>
                <c:pt idx="3">
                  <c:v>Sumbe</c:v>
                </c:pt>
                <c:pt idx="4">
                  <c:v>Uíge</c:v>
                </c:pt>
              </c:strCache>
            </c:strRef>
          </c:cat>
          <c:val>
            <c:numRef>
              <c:f>Planilha1!$B$28:$B$32</c:f>
              <c:numCache>
                <c:formatCode>0</c:formatCode>
                <c:ptCount val="5"/>
                <c:pt idx="0">
                  <c:v>10961</c:v>
                </c:pt>
                <c:pt idx="1">
                  <c:v>27581</c:v>
                </c:pt>
                <c:pt idx="2">
                  <c:v>10714</c:v>
                </c:pt>
                <c:pt idx="3">
                  <c:v>18891</c:v>
                </c:pt>
                <c:pt idx="4">
                  <c:v>26282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B-4FCC-9879-A22D56F5F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6795935"/>
        <c:axId val="1036796415"/>
      </c:barChart>
      <c:catAx>
        <c:axId val="103679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6796415"/>
        <c:crosses val="autoZero"/>
        <c:auto val="1"/>
        <c:lblAlgn val="ctr"/>
        <c:lblOffset val="100"/>
        <c:noMultiLvlLbl val="0"/>
      </c:catAx>
      <c:valAx>
        <c:axId val="103679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679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28576</xdr:rowOff>
    </xdr:from>
    <xdr:to>
      <xdr:col>5</xdr:col>
      <xdr:colOff>323851</xdr:colOff>
      <xdr:row>11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A43A9B-6202-46D1-AD09-4DB67539E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323850</xdr:colOff>
      <xdr:row>0</xdr:row>
      <xdr:rowOff>33337</xdr:rowOff>
    </xdr:from>
    <xdr:to>
      <xdr:col>11</xdr:col>
      <xdr:colOff>190500</xdr:colOff>
      <xdr:row>12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1A91E1-B7C0-44D2-A34A-E4F8B3AC1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563190</xdr:colOff>
      <xdr:row>0</xdr:row>
      <xdr:rowOff>57439</xdr:rowOff>
    </xdr:from>
    <xdr:to>
      <xdr:col>19</xdr:col>
      <xdr:colOff>563190</xdr:colOff>
      <xdr:row>7</xdr:row>
      <xdr:rowOff>162214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tatus_Entrega">
              <a:extLst>
                <a:ext uri="{FF2B5EF4-FFF2-40B4-BE49-F238E27FC236}">
                  <a16:creationId xmlns:a16="http://schemas.microsoft.com/office/drawing/2014/main" id="{6287F188-FC24-45F1-A3A1-71752E01DF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_Entreg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60333" y="57439"/>
              <a:ext cx="1836964" cy="145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550986</xdr:colOff>
      <xdr:row>9</xdr:row>
      <xdr:rowOff>61057</xdr:rowOff>
    </xdr:from>
    <xdr:to>
      <xdr:col>22</xdr:col>
      <xdr:colOff>537309</xdr:colOff>
      <xdr:row>30</xdr:row>
      <xdr:rowOff>73270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29FC82-111A-4219-B68A-1A02954B5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580318</xdr:colOff>
      <xdr:row>0</xdr:row>
      <xdr:rowOff>34211</xdr:rowOff>
    </xdr:from>
    <xdr:to>
      <xdr:col>22</xdr:col>
      <xdr:colOff>580319</xdr:colOff>
      <xdr:row>9</xdr:row>
      <xdr:rowOff>50713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Origem">
              <a:extLst>
                <a:ext uri="{FF2B5EF4-FFF2-40B4-BE49-F238E27FC236}">
                  <a16:creationId xmlns:a16="http://schemas.microsoft.com/office/drawing/2014/main" id="{E913872F-A336-427C-988C-C1A9766EE6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ig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4425" y="34211"/>
              <a:ext cx="1836965" cy="1751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295275</xdr:colOff>
      <xdr:row>12</xdr:row>
      <xdr:rowOff>1</xdr:rowOff>
    </xdr:from>
    <xdr:to>
      <xdr:col>11</xdr:col>
      <xdr:colOff>190500</xdr:colOff>
      <xdr:row>21</xdr:row>
      <xdr:rowOff>10467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F68EDE-C430-4FA9-A7AA-AD892A143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136071</xdr:colOff>
      <xdr:row>0</xdr:row>
      <xdr:rowOff>43950</xdr:rowOff>
    </xdr:from>
    <xdr:to>
      <xdr:col>16</xdr:col>
      <xdr:colOff>545870</xdr:colOff>
      <xdr:row>11</xdr:row>
      <xdr:rowOff>154785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2ED37F9-709B-4EB4-B011-96EA25384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177939</xdr:colOff>
      <xdr:row>11</xdr:row>
      <xdr:rowOff>157006</xdr:rowOff>
    </xdr:from>
    <xdr:to>
      <xdr:col>16</xdr:col>
      <xdr:colOff>554752</xdr:colOff>
      <xdr:row>21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69A7960-A8E5-474B-ADCD-3D46537C5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183173</xdr:colOff>
      <xdr:row>21</xdr:row>
      <xdr:rowOff>1</xdr:rowOff>
    </xdr:from>
    <xdr:to>
      <xdr:col>16</xdr:col>
      <xdr:colOff>561731</xdr:colOff>
      <xdr:row>30</xdr:row>
      <xdr:rowOff>61059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A613485-EFBD-48FF-A19D-E43D051FA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256442</xdr:colOff>
      <xdr:row>21</xdr:row>
      <xdr:rowOff>24423</xdr:rowOff>
    </xdr:from>
    <xdr:to>
      <xdr:col>11</xdr:col>
      <xdr:colOff>170107</xdr:colOff>
      <xdr:row>30</xdr:row>
      <xdr:rowOff>61058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9948499-9164-458F-B036-39097CD1D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24424</xdr:colOff>
      <xdr:row>21</xdr:row>
      <xdr:rowOff>2685</xdr:rowOff>
    </xdr:from>
    <xdr:to>
      <xdr:col>5</xdr:col>
      <xdr:colOff>248139</xdr:colOff>
      <xdr:row>30</xdr:row>
      <xdr:rowOff>36634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AE34A9E-F1E7-4D0A-B207-1A1D63AE6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36635</xdr:colOff>
      <xdr:row>11</xdr:row>
      <xdr:rowOff>183173</xdr:rowOff>
    </xdr:from>
    <xdr:to>
      <xdr:col>5</xdr:col>
      <xdr:colOff>317500</xdr:colOff>
      <xdr:row>21</xdr:row>
      <xdr:rowOff>24423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8A728C2-0D65-4F6E-B8C4-D719C1107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ROBOO" refreshedDate="46162.67068333333" createdVersion="8" refreshedVersion="8" minRefreshableVersion="3" recordCount="35" xr:uid="{7E7D4012-7252-4BAB-A44E-13DFE6EEB6D2}">
  <cacheSource type="worksheet">
    <worksheetSource name="Tabela1"/>
  </cacheSource>
  <cacheFields count="15">
    <cacheField name="ID_Envio" numFmtId="0">
      <sharedItems/>
    </cacheField>
    <cacheField name="Data_Envio" numFmtId="0">
      <sharedItems/>
    </cacheField>
    <cacheField name="Origem" numFmtId="0">
      <sharedItems count="5">
        <s v="Huambo"/>
        <s v="Lubango"/>
        <s v="Benguela"/>
        <s v="Luanda"/>
        <s v="Cabinda"/>
      </sharedItems>
    </cacheField>
    <cacheField name="Destino" numFmtId="0">
      <sharedItems count="5">
        <s v="Uíge"/>
        <s v="Sumbe"/>
        <s v="Namibe"/>
        <s v="Malanje"/>
        <s v="Soyo"/>
      </sharedItems>
    </cacheField>
    <cacheField name="Transportadora" numFmtId="0">
      <sharedItems count="4">
        <s v="RoadLink"/>
        <s v="TransLog"/>
        <s v="FastCargo"/>
        <s v="AngoExpress"/>
      </sharedItems>
    </cacheField>
    <cacheField name="Tipo_Carga" numFmtId="0">
      <sharedItems count="5">
        <s v="Roupas"/>
        <s v="Alimentos"/>
        <s v="Medicamentos"/>
        <s v="Peças Automóveis"/>
        <s v="Eletrônicos"/>
      </sharedItems>
    </cacheField>
    <cacheField name="Peso_kg" numFmtId="0">
      <sharedItems containsSemiMixedTypes="0" containsString="0" containsNumber="1" containsInteger="1" minValue="605" maxValue="4687" count="35">
        <n v="3702"/>
        <n v="1163"/>
        <n v="1198"/>
        <n v="3515"/>
        <n v="2146"/>
        <n v="3429"/>
        <n v="2300"/>
        <n v="2730"/>
        <n v="3738"/>
        <n v="2820"/>
        <n v="3179"/>
        <n v="1399"/>
        <n v="4687"/>
        <n v="2320"/>
        <n v="2828"/>
        <n v="4056"/>
        <n v="4200"/>
        <n v="3883"/>
        <n v="1431"/>
        <n v="1689"/>
        <n v="2884"/>
        <n v="2501"/>
        <n v="3917"/>
        <n v="3028"/>
        <n v="2689"/>
        <n v="4560"/>
        <n v="769"/>
        <n v="1922"/>
        <n v="3371"/>
        <n v="3402"/>
        <n v="1151"/>
        <n v="2514"/>
        <n v="2742"/>
        <n v="605"/>
        <n v="1961"/>
      </sharedItems>
    </cacheField>
    <cacheField name="Volume_m3" numFmtId="0">
      <sharedItems containsSemiMixedTypes="0" containsString="0" containsNumber="1" minValue="2.12" maxValue="49.37"/>
    </cacheField>
    <cacheField name="Status_Entrega" numFmtId="0">
      <sharedItems count="4">
        <s v="Entregue"/>
        <s v="Processando"/>
        <s v="Em trânsito"/>
        <s v="Atrasado"/>
      </sharedItems>
    </cacheField>
    <cacheField name="Tempo_Entrega_Dias" numFmtId="0">
      <sharedItems containsSemiMixedTypes="0" containsString="0" containsNumber="1" containsInteger="1" minValue="1" maxValue="15"/>
    </cacheField>
    <cacheField name="Custo_Transporte_USD" numFmtId="0">
      <sharedItems containsSemiMixedTypes="0" containsString="0" containsNumber="1" minValue="552.89" maxValue="14627.84" count="35">
        <n v="1290.76"/>
        <n v="7554.12"/>
        <n v="5693.53"/>
        <n v="4564.0600000000004"/>
        <n v="4812.75"/>
        <n v="3888.73"/>
        <n v="12652.21"/>
        <n v="4215.8900000000003"/>
        <n v="6309.93"/>
        <n v="8815.48"/>
        <n v="1098.44"/>
        <n v="800.6"/>
        <n v="14627.84"/>
        <n v="7175.99"/>
        <n v="12590.07"/>
        <n v="5098.91"/>
        <n v="5902.8"/>
        <n v="7095.45"/>
        <n v="2012.23"/>
        <n v="3536.61"/>
        <n v="7447.55"/>
        <n v="11937.65"/>
        <n v="2157.96"/>
        <n v="4492.68"/>
        <n v="2770.51"/>
        <n v="14453.21"/>
        <n v="3642.2"/>
        <n v="9238.06"/>
        <n v="552.89"/>
        <n v="10651.91"/>
        <n v="1217.1600000000001"/>
        <n v="846.83"/>
        <n v="10691.54"/>
        <n v="13284.86"/>
        <n v="7455.33"/>
      </sharedItems>
    </cacheField>
    <cacheField name="Motorista" numFmtId="0">
      <sharedItems/>
    </cacheField>
    <cacheField name="Veiculo" numFmtId="0">
      <sharedItems/>
    </cacheField>
    <cacheField name="Prioridade" numFmtId="0">
      <sharedItems/>
    </cacheField>
    <cacheField name="Armazem" numFmtId="0">
      <sharedItems count="3">
        <s v="Armazém Sul"/>
        <s v="Armazém Norte"/>
        <s v="Armazém Central"/>
      </sharedItems>
    </cacheField>
  </cacheFields>
  <extLst>
    <ext xmlns:x14="http://schemas.microsoft.com/office/spreadsheetml/2009/9/main" uri="{725AE2AE-9491-48be-B2B4-4EB974FC3084}">
      <x14:pivotCacheDefinition pivotCacheId="15011101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LOG1002"/>
    <s v="05/04/2026"/>
    <x v="0"/>
    <x v="0"/>
    <x v="0"/>
    <x v="0"/>
    <x v="0"/>
    <n v="7.92"/>
    <x v="0"/>
    <n v="13"/>
    <x v="0"/>
    <s v="Carlos Manuel"/>
    <s v="Van C78"/>
    <s v="Alta"/>
    <x v="0"/>
  </r>
  <r>
    <s v="LOG1003"/>
    <s v="12/01/2026"/>
    <x v="1"/>
    <x v="0"/>
    <x v="0"/>
    <x v="0"/>
    <x v="1"/>
    <n v="9.34"/>
    <x v="0"/>
    <n v="13"/>
    <x v="1"/>
    <s v="João Pedro"/>
    <s v="Van C78"/>
    <s v="Alta"/>
    <x v="1"/>
  </r>
  <r>
    <s v="LOG1004"/>
    <s v="05/03/2026"/>
    <x v="2"/>
    <x v="0"/>
    <x v="1"/>
    <x v="1"/>
    <x v="2"/>
    <n v="14.72"/>
    <x v="1"/>
    <n v="8"/>
    <x v="2"/>
    <s v="Paulo Gomes"/>
    <s v="Truck D90"/>
    <s v="Alta"/>
    <x v="0"/>
  </r>
  <r>
    <s v="LOG1005"/>
    <s v="19/01/2026"/>
    <x v="1"/>
    <x v="1"/>
    <x v="2"/>
    <x v="0"/>
    <x v="3"/>
    <n v="44.6"/>
    <x v="0"/>
    <n v="14"/>
    <x v="3"/>
    <s v="Mateus Silva"/>
    <s v="Truck D90"/>
    <s v="Alta"/>
    <x v="2"/>
  </r>
  <r>
    <s v="LOG1006"/>
    <s v="06/03/2026"/>
    <x v="3"/>
    <x v="2"/>
    <x v="3"/>
    <x v="1"/>
    <x v="4"/>
    <n v="39.61"/>
    <x v="1"/>
    <n v="7"/>
    <x v="4"/>
    <s v="Paulo Gomes"/>
    <s v="Van C78"/>
    <s v="Alta"/>
    <x v="2"/>
  </r>
  <r>
    <s v="LOG1007"/>
    <s v="22/04/2026"/>
    <x v="3"/>
    <x v="3"/>
    <x v="1"/>
    <x v="2"/>
    <x v="5"/>
    <n v="46.8"/>
    <x v="2"/>
    <n v="1"/>
    <x v="5"/>
    <s v="Mateus Silva"/>
    <s v="Camião B45"/>
    <s v="Alta"/>
    <x v="0"/>
  </r>
  <r>
    <s v="LOG1008"/>
    <s v="28/04/2026"/>
    <x v="3"/>
    <x v="0"/>
    <x v="1"/>
    <x v="2"/>
    <x v="6"/>
    <n v="46.23"/>
    <x v="1"/>
    <n v="13"/>
    <x v="6"/>
    <s v="Mateus Silva"/>
    <s v="Truck D90"/>
    <s v="Média"/>
    <x v="0"/>
  </r>
  <r>
    <s v="LOG1009"/>
    <s v="29/03/2026"/>
    <x v="1"/>
    <x v="3"/>
    <x v="0"/>
    <x v="3"/>
    <x v="7"/>
    <n v="2.73"/>
    <x v="0"/>
    <n v="13"/>
    <x v="7"/>
    <s v="Mateus Silva"/>
    <s v="Van C78"/>
    <s v="Baixa"/>
    <x v="2"/>
  </r>
  <r>
    <s v="LOG1010"/>
    <s v="14/01/2026"/>
    <x v="0"/>
    <x v="2"/>
    <x v="2"/>
    <x v="3"/>
    <x v="8"/>
    <n v="16.64"/>
    <x v="3"/>
    <n v="13"/>
    <x v="8"/>
    <s v="Paulo Gomes"/>
    <s v="Camião B45"/>
    <s v="Alta"/>
    <x v="2"/>
  </r>
  <r>
    <s v="LOG1011"/>
    <s v="07/02/2026"/>
    <x v="1"/>
    <x v="4"/>
    <x v="0"/>
    <x v="0"/>
    <x v="9"/>
    <n v="35.520000000000003"/>
    <x v="1"/>
    <n v="4"/>
    <x v="9"/>
    <s v="Carlos Manuel"/>
    <s v="Camião B45"/>
    <s v="Baixa"/>
    <x v="1"/>
  </r>
  <r>
    <s v="LOG1012"/>
    <s v="27/04/2026"/>
    <x v="2"/>
    <x v="0"/>
    <x v="1"/>
    <x v="2"/>
    <x v="10"/>
    <n v="2.12"/>
    <x v="2"/>
    <n v="14"/>
    <x v="10"/>
    <s v="Carlos Manuel"/>
    <s v="Van C78"/>
    <s v="Alta"/>
    <x v="1"/>
  </r>
  <r>
    <s v="LOG1013"/>
    <s v="10/03/2026"/>
    <x v="1"/>
    <x v="2"/>
    <x v="0"/>
    <x v="2"/>
    <x v="11"/>
    <n v="46.11"/>
    <x v="3"/>
    <n v="2"/>
    <x v="11"/>
    <s v="Carlos Manuel"/>
    <s v="Truck D90"/>
    <s v="Média"/>
    <x v="2"/>
  </r>
  <r>
    <s v="LOG1014"/>
    <s v="06/01/2026"/>
    <x v="0"/>
    <x v="2"/>
    <x v="1"/>
    <x v="4"/>
    <x v="12"/>
    <n v="21.89"/>
    <x v="2"/>
    <n v="14"/>
    <x v="12"/>
    <s v="Paulo Gomes"/>
    <s v="Truck D90"/>
    <s v="Alta"/>
    <x v="2"/>
  </r>
  <r>
    <s v="LOG1015"/>
    <s v="24/02/2026"/>
    <x v="1"/>
    <x v="2"/>
    <x v="1"/>
    <x v="2"/>
    <x v="13"/>
    <n v="42.49"/>
    <x v="3"/>
    <n v="14"/>
    <x v="13"/>
    <s v="António José"/>
    <s v="Camião B45"/>
    <s v="Alta"/>
    <x v="1"/>
  </r>
  <r>
    <s v="LOG1016"/>
    <s v="17/02/2026"/>
    <x v="0"/>
    <x v="2"/>
    <x v="3"/>
    <x v="2"/>
    <x v="14"/>
    <n v="49.19"/>
    <x v="3"/>
    <n v="9"/>
    <x v="14"/>
    <s v="Mateus Silva"/>
    <s v="Truck D90"/>
    <s v="Baixa"/>
    <x v="0"/>
  </r>
  <r>
    <s v="LOG1017"/>
    <s v="13/01/2026"/>
    <x v="0"/>
    <x v="0"/>
    <x v="0"/>
    <x v="0"/>
    <x v="15"/>
    <n v="6.62"/>
    <x v="3"/>
    <n v="2"/>
    <x v="15"/>
    <s v="Carlos Manuel"/>
    <s v="Camião A12"/>
    <s v="Baixa"/>
    <x v="2"/>
  </r>
  <r>
    <s v="LOG1018"/>
    <s v="30/04/2026"/>
    <x v="1"/>
    <x v="1"/>
    <x v="3"/>
    <x v="2"/>
    <x v="16"/>
    <n v="26.52"/>
    <x v="2"/>
    <n v="7"/>
    <x v="16"/>
    <s v="Paulo Gomes"/>
    <s v="Camião A12"/>
    <s v="Baixa"/>
    <x v="0"/>
  </r>
  <r>
    <s v="LOG1019"/>
    <s v="23/01/2026"/>
    <x v="4"/>
    <x v="0"/>
    <x v="2"/>
    <x v="1"/>
    <x v="17"/>
    <n v="10.17"/>
    <x v="1"/>
    <n v="9"/>
    <x v="17"/>
    <s v="António José"/>
    <s v="Van C78"/>
    <s v="Média"/>
    <x v="0"/>
  </r>
  <r>
    <s v="LOG1020"/>
    <s v="11/02/2026"/>
    <x v="0"/>
    <x v="3"/>
    <x v="3"/>
    <x v="2"/>
    <x v="18"/>
    <n v="19.66"/>
    <x v="1"/>
    <n v="3"/>
    <x v="18"/>
    <s v="João Pedro"/>
    <s v="Camião B45"/>
    <s v="Média"/>
    <x v="1"/>
  </r>
  <r>
    <s v="LOG1021"/>
    <s v="01/03/2026"/>
    <x v="4"/>
    <x v="1"/>
    <x v="1"/>
    <x v="4"/>
    <x v="19"/>
    <n v="37.94"/>
    <x v="2"/>
    <n v="7"/>
    <x v="19"/>
    <s v="Mateus Silva"/>
    <s v="Van C78"/>
    <s v="Baixa"/>
    <x v="0"/>
  </r>
  <r>
    <s v="LOG1022"/>
    <s v="27/03/2026"/>
    <x v="0"/>
    <x v="0"/>
    <x v="3"/>
    <x v="1"/>
    <x v="20"/>
    <n v="20.399999999999999"/>
    <x v="1"/>
    <n v="6"/>
    <x v="20"/>
    <s v="João Pedro"/>
    <s v="Truck D90"/>
    <s v="Alta"/>
    <x v="2"/>
  </r>
  <r>
    <s v="LOG1023"/>
    <s v="04/03/2026"/>
    <x v="4"/>
    <x v="2"/>
    <x v="1"/>
    <x v="4"/>
    <x v="21"/>
    <n v="27.18"/>
    <x v="1"/>
    <n v="12"/>
    <x v="21"/>
    <s v="Paulo Gomes"/>
    <s v="Camião A12"/>
    <s v="Média"/>
    <x v="2"/>
  </r>
  <r>
    <s v="LOG1024"/>
    <s v="28/03/2026"/>
    <x v="2"/>
    <x v="0"/>
    <x v="2"/>
    <x v="3"/>
    <x v="22"/>
    <n v="10.8"/>
    <x v="2"/>
    <n v="3"/>
    <x v="22"/>
    <s v="António José"/>
    <s v="Camião B45"/>
    <s v="Baixa"/>
    <x v="0"/>
  </r>
  <r>
    <s v="LOG1025"/>
    <s v="08/01/2026"/>
    <x v="1"/>
    <x v="1"/>
    <x v="1"/>
    <x v="2"/>
    <x v="23"/>
    <n v="41.55"/>
    <x v="1"/>
    <n v="5"/>
    <x v="23"/>
    <s v="Paulo Gomes"/>
    <s v="Camião B45"/>
    <s v="Média"/>
    <x v="2"/>
  </r>
  <r>
    <s v="LOG1026"/>
    <s v="27/04/2026"/>
    <x v="1"/>
    <x v="4"/>
    <x v="3"/>
    <x v="3"/>
    <x v="24"/>
    <n v="19.59"/>
    <x v="0"/>
    <n v="13"/>
    <x v="24"/>
    <s v="António José"/>
    <s v="Van C78"/>
    <s v="Média"/>
    <x v="0"/>
  </r>
  <r>
    <s v="LOG1027"/>
    <s v="06/01/2026"/>
    <x v="1"/>
    <x v="2"/>
    <x v="2"/>
    <x v="1"/>
    <x v="25"/>
    <n v="49.37"/>
    <x v="2"/>
    <n v="12"/>
    <x v="25"/>
    <s v="António José"/>
    <s v="Camião A12"/>
    <s v="Baixa"/>
    <x v="1"/>
  </r>
  <r>
    <s v="LOG1028"/>
    <s v="13/04/2026"/>
    <x v="3"/>
    <x v="4"/>
    <x v="3"/>
    <x v="1"/>
    <x v="26"/>
    <n v="2.48"/>
    <x v="0"/>
    <n v="15"/>
    <x v="26"/>
    <s v="Mateus Silva"/>
    <s v="Van C78"/>
    <s v="Alta"/>
    <x v="2"/>
  </r>
  <r>
    <s v="LOG1029"/>
    <s v="24/01/2026"/>
    <x v="2"/>
    <x v="4"/>
    <x v="2"/>
    <x v="4"/>
    <x v="27"/>
    <n v="3.82"/>
    <x v="1"/>
    <n v="7"/>
    <x v="27"/>
    <s v="António José"/>
    <s v="Truck D90"/>
    <s v="Alta"/>
    <x v="1"/>
  </r>
  <r>
    <s v="LOG1030"/>
    <s v="18/04/2026"/>
    <x v="3"/>
    <x v="3"/>
    <x v="2"/>
    <x v="2"/>
    <x v="28"/>
    <n v="15.67"/>
    <x v="2"/>
    <n v="5"/>
    <x v="28"/>
    <s v="João Pedro"/>
    <s v="Van C78"/>
    <s v="Alta"/>
    <x v="0"/>
  </r>
  <r>
    <s v="LOG1031"/>
    <s v="06/04/2026"/>
    <x v="4"/>
    <x v="2"/>
    <x v="1"/>
    <x v="2"/>
    <x v="29"/>
    <n v="21.95"/>
    <x v="3"/>
    <n v="12"/>
    <x v="29"/>
    <s v="João Pedro"/>
    <s v="Camião B45"/>
    <s v="Baixa"/>
    <x v="2"/>
  </r>
  <r>
    <s v="LOG1032"/>
    <s v="05/03/2026"/>
    <x v="2"/>
    <x v="1"/>
    <x v="3"/>
    <x v="0"/>
    <x v="30"/>
    <n v="48.12"/>
    <x v="3"/>
    <n v="11"/>
    <x v="30"/>
    <s v="João Pedro"/>
    <s v="Truck D90"/>
    <s v="Alta"/>
    <x v="1"/>
  </r>
  <r>
    <s v="LOG1033"/>
    <s v="17/01/2026"/>
    <x v="4"/>
    <x v="4"/>
    <x v="3"/>
    <x v="0"/>
    <x v="31"/>
    <n v="42.55"/>
    <x v="1"/>
    <n v="6"/>
    <x v="31"/>
    <s v="João Pedro"/>
    <s v="Van C78"/>
    <s v="Baixa"/>
    <x v="0"/>
  </r>
  <r>
    <s v="LOG1034"/>
    <s v="05/01/2026"/>
    <x v="4"/>
    <x v="1"/>
    <x v="1"/>
    <x v="1"/>
    <x v="32"/>
    <n v="29.35"/>
    <x v="3"/>
    <n v="13"/>
    <x v="32"/>
    <s v="João Pedro"/>
    <s v="Camião B45"/>
    <s v="Alta"/>
    <x v="0"/>
  </r>
  <r>
    <s v="LOG1035"/>
    <s v="03/03/2026"/>
    <x v="2"/>
    <x v="1"/>
    <x v="1"/>
    <x v="2"/>
    <x v="33"/>
    <n v="47.6"/>
    <x v="2"/>
    <n v="3"/>
    <x v="33"/>
    <s v="João Pedro"/>
    <s v="Camião B45"/>
    <s v="Alta"/>
    <x v="0"/>
  </r>
  <r>
    <s v="LOG1036"/>
    <s v="14/03/2026"/>
    <x v="3"/>
    <x v="1"/>
    <x v="0"/>
    <x v="2"/>
    <x v="34"/>
    <n v="25.08"/>
    <x v="0"/>
    <n v="8"/>
    <x v="34"/>
    <s v="Mateus Silva"/>
    <s v="Camião A12"/>
    <s v="Alt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9923A-8427-4BB9-A42C-E00A9279A3FF}" name="Tabela dinâmica18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1" rowHeaderCaption="Transportadora">
  <location ref="A27:B32" firstHeaderRow="1" firstDataRow="1" firstDataCol="1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a de Peso_kg" fld="6" baseField="0" baseItem="0"/>
  </dataFields>
  <formats count="13">
    <format dxfId="1114">
      <pivotArea type="all" dataOnly="0" outline="0" fieldPosition="0"/>
    </format>
    <format dxfId="1115">
      <pivotArea outline="0" collapsedLevelsAreSubtotals="1" fieldPosition="0"/>
    </format>
    <format dxfId="1116">
      <pivotArea field="4" type="button" dataOnly="0" labelOnly="1" outline="0"/>
    </format>
    <format dxfId="1117">
      <pivotArea dataOnly="0" labelOnly="1" outline="0" axis="axisValues" fieldPosition="0"/>
    </format>
    <format dxfId="1118">
      <pivotArea type="all" dataOnly="0" outline="0" fieldPosition="0"/>
    </format>
    <format dxfId="1119">
      <pivotArea outline="0" collapsedLevelsAreSubtotals="1" fieldPosition="0"/>
    </format>
    <format dxfId="1120">
      <pivotArea field="4" type="button" dataOnly="0" labelOnly="1" outline="0"/>
    </format>
    <format dxfId="1121">
      <pivotArea dataOnly="0" labelOnly="1" outline="0" axis="axisValues" fieldPosition="0"/>
    </format>
    <format dxfId="1122">
      <pivotArea type="all" dataOnly="0" outline="0" fieldPosition="0"/>
    </format>
    <format dxfId="1123">
      <pivotArea outline="0" collapsedLevelsAreSubtotals="1" fieldPosition="0"/>
    </format>
    <format dxfId="1124">
      <pivotArea field="4" type="button" dataOnly="0" labelOnly="1" outline="0"/>
    </format>
    <format dxfId="1125">
      <pivotArea dataOnly="0" labelOnly="1" outline="0" axis="axisValues" fieldPosition="0"/>
    </format>
    <format dxfId="1126">
      <pivotArea outline="0" collapsedLevelsAreSubtotals="1" fieldPosition="0"/>
    </format>
  </formats>
  <chartFormats count="7">
    <chartFormat chart="7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BD9AD-FC26-4D6B-8459-3B2C998A85E7}" name="Tabela dinâmica16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6" rowHeaderCaption="Transportadora">
  <location ref="C25:C26" firstHeaderRow="1" firstDataRow="1" firstDataCol="0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de Custo_Transporte_USD" fld="10" baseField="0" baseItem="0"/>
  </dataFields>
  <formats count="13">
    <format dxfId="1397">
      <pivotArea type="all" dataOnly="0" outline="0" fieldPosition="0"/>
    </format>
    <format dxfId="1398">
      <pivotArea outline="0" collapsedLevelsAreSubtotals="1" fieldPosition="0"/>
    </format>
    <format dxfId="1399">
      <pivotArea field="4" type="button" dataOnly="0" labelOnly="1" outline="0"/>
    </format>
    <format dxfId="1400">
      <pivotArea dataOnly="0" labelOnly="1" outline="0" axis="axisValues" fieldPosition="0"/>
    </format>
    <format dxfId="1401">
      <pivotArea type="all" dataOnly="0" outline="0" fieldPosition="0"/>
    </format>
    <format dxfId="1402">
      <pivotArea outline="0" collapsedLevelsAreSubtotals="1" fieldPosition="0"/>
    </format>
    <format dxfId="1403">
      <pivotArea field="4" type="button" dataOnly="0" labelOnly="1" outline="0"/>
    </format>
    <format dxfId="1404">
      <pivotArea dataOnly="0" labelOnly="1" outline="0" axis="axisValues" fieldPosition="0"/>
    </format>
    <format dxfId="1405">
      <pivotArea type="all" dataOnly="0" outline="0" fieldPosition="0"/>
    </format>
    <format dxfId="1406">
      <pivotArea outline="0" collapsedLevelsAreSubtotals="1" fieldPosition="0"/>
    </format>
    <format dxfId="1407">
      <pivotArea field="4" type="button" dataOnly="0" labelOnly="1" outline="0"/>
    </format>
    <format dxfId="1408">
      <pivotArea dataOnly="0" labelOnly="1" outline="0" axis="axisValues" fieldPosition="0"/>
    </format>
    <format dxfId="1409">
      <pivotArea outline="0" collapsedLevelsAreSubtotals="1" fieldPosition="0"/>
    </format>
  </formats>
  <chartFormats count="4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CD9F4-7FC1-4997-8E0C-22CCBC9C8C9D}" name="Tabela dinâmica14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9" rowHeaderCaption="Transportadora">
  <location ref="A24:A25" firstHeaderRow="1" firstDataRow="1" firstDataCol="0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ntagem de Status_Entrega" fld="8" subtotal="count" baseField="0" baseItem="0"/>
  </dataFields>
  <formats count="13">
    <format dxfId="1410">
      <pivotArea type="all" dataOnly="0" outline="0" fieldPosition="0"/>
    </format>
    <format dxfId="1411">
      <pivotArea outline="0" collapsedLevelsAreSubtotals="1" fieldPosition="0"/>
    </format>
    <format dxfId="1412">
      <pivotArea field="4" type="button" dataOnly="0" labelOnly="1" outline="0"/>
    </format>
    <format dxfId="1413">
      <pivotArea dataOnly="0" labelOnly="1" outline="0" axis="axisValues" fieldPosition="0"/>
    </format>
    <format dxfId="1414">
      <pivotArea type="all" dataOnly="0" outline="0" fieldPosition="0"/>
    </format>
    <format dxfId="1415">
      <pivotArea outline="0" collapsedLevelsAreSubtotals="1" fieldPosition="0"/>
    </format>
    <format dxfId="1416">
      <pivotArea field="4" type="button" dataOnly="0" labelOnly="1" outline="0"/>
    </format>
    <format dxfId="1417">
      <pivotArea dataOnly="0" labelOnly="1" outline="0" axis="axisValues" fieldPosition="0"/>
    </format>
    <format dxfId="1418">
      <pivotArea type="all" dataOnly="0" outline="0" fieldPosition="0"/>
    </format>
    <format dxfId="1419">
      <pivotArea outline="0" collapsedLevelsAreSubtotals="1" fieldPosition="0"/>
    </format>
    <format dxfId="1420">
      <pivotArea field="4" type="button" dataOnly="0" labelOnly="1" outline="0"/>
    </format>
    <format dxfId="1421">
      <pivotArea dataOnly="0" labelOnly="1" outline="0" axis="axisValues" fieldPosition="0"/>
    </format>
    <format dxfId="1422">
      <pivotArea outline="0" collapsedLevelsAreSubtotals="1" fieldPosition="0"/>
    </format>
  </formats>
  <chartFormats count="1">
    <chartFormat chart="5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31148-7504-4D20-B695-41BB48C131EE}" name="Tabela dinâmica13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48" rowHeaderCaption="Transportadora">
  <location ref="B22:B23" firstHeaderRow="1" firstDataRow="1" firstDataCol="0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>
      <items count="36">
        <item x="28"/>
        <item x="11"/>
        <item x="31"/>
        <item x="10"/>
        <item x="30"/>
        <item x="0"/>
        <item x="18"/>
        <item x="22"/>
        <item x="24"/>
        <item x="19"/>
        <item x="26"/>
        <item x="5"/>
        <item x="7"/>
        <item x="23"/>
        <item x="3"/>
        <item x="4"/>
        <item x="15"/>
        <item x="2"/>
        <item x="16"/>
        <item x="8"/>
        <item x="17"/>
        <item x="13"/>
        <item x="20"/>
        <item x="34"/>
        <item x="1"/>
        <item x="9"/>
        <item x="27"/>
        <item x="29"/>
        <item x="32"/>
        <item x="21"/>
        <item x="14"/>
        <item x="6"/>
        <item x="33"/>
        <item x="25"/>
        <item x="12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Mín. de Custo_Transporte_USD" fld="10" subtotal="min" baseField="0" baseItem="0"/>
  </dataFields>
  <formats count="13">
    <format dxfId="1423">
      <pivotArea type="all" dataOnly="0" outline="0" fieldPosition="0"/>
    </format>
    <format dxfId="1424">
      <pivotArea outline="0" collapsedLevelsAreSubtotals="1" fieldPosition="0"/>
    </format>
    <format dxfId="1425">
      <pivotArea field="4" type="button" dataOnly="0" labelOnly="1" outline="0"/>
    </format>
    <format dxfId="1426">
      <pivotArea dataOnly="0" labelOnly="1" outline="0" axis="axisValues" fieldPosition="0"/>
    </format>
    <format dxfId="1427">
      <pivotArea type="all" dataOnly="0" outline="0" fieldPosition="0"/>
    </format>
    <format dxfId="1428">
      <pivotArea outline="0" collapsedLevelsAreSubtotals="1" fieldPosition="0"/>
    </format>
    <format dxfId="1429">
      <pivotArea field="4" type="button" dataOnly="0" labelOnly="1" outline="0"/>
    </format>
    <format dxfId="1430">
      <pivotArea dataOnly="0" labelOnly="1" outline="0" axis="axisValues" fieldPosition="0"/>
    </format>
    <format dxfId="1431">
      <pivotArea type="all" dataOnly="0" outline="0" fieldPosition="0"/>
    </format>
    <format dxfId="1432">
      <pivotArea outline="0" collapsedLevelsAreSubtotals="1" fieldPosition="0"/>
    </format>
    <format dxfId="1433">
      <pivotArea field="4" type="button" dataOnly="0" labelOnly="1" outline="0"/>
    </format>
    <format dxfId="1434">
      <pivotArea dataOnly="0" labelOnly="1" outline="0" axis="axisValues" fieldPosition="0"/>
    </format>
    <format dxfId="1435">
      <pivotArea outline="0" collapsedLevelsAreSubtotals="1" fieldPosition="0"/>
    </format>
  </formats>
  <chartFormats count="2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ED275-892D-4F3A-BADC-97D0973AF33C}" name="Tabela dinâmica11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0" rowHeaderCaption="Transportadora">
  <location ref="A18:A19" firstHeaderRow="1" firstDataRow="1" firstDataCol="0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Máx. de Custo_Transporte_USD" fld="10" subtotal="max" baseField="0" baseItem="0"/>
  </dataFields>
  <formats count="13">
    <format dxfId="1456">
      <pivotArea type="all" dataOnly="0" outline="0" fieldPosition="0"/>
    </format>
    <format dxfId="1457">
      <pivotArea outline="0" collapsedLevelsAreSubtotals="1" fieldPosition="0"/>
    </format>
    <format dxfId="1458">
      <pivotArea field="4" type="button" dataOnly="0" labelOnly="1" outline="0"/>
    </format>
    <format dxfId="1459">
      <pivotArea dataOnly="0" labelOnly="1" outline="0" axis="axisValues" fieldPosition="0"/>
    </format>
    <format dxfId="1460">
      <pivotArea type="all" dataOnly="0" outline="0" fieldPosition="0"/>
    </format>
    <format dxfId="1461">
      <pivotArea outline="0" collapsedLevelsAreSubtotals="1" fieldPosition="0"/>
    </format>
    <format dxfId="1462">
      <pivotArea field="4" type="button" dataOnly="0" labelOnly="1" outline="0"/>
    </format>
    <format dxfId="1463">
      <pivotArea dataOnly="0" labelOnly="1" outline="0" axis="axisValues" fieldPosition="0"/>
    </format>
    <format dxfId="1464">
      <pivotArea type="all" dataOnly="0" outline="0" fieldPosition="0"/>
    </format>
    <format dxfId="1465">
      <pivotArea outline="0" collapsedLevelsAreSubtotals="1" fieldPosition="0"/>
    </format>
    <format dxfId="1466">
      <pivotArea field="4" type="button" dataOnly="0" labelOnly="1" outline="0"/>
    </format>
    <format dxfId="1467">
      <pivotArea dataOnly="0" labelOnly="1" outline="0" axis="axisValues" fieldPosition="0"/>
    </format>
    <format dxfId="1468">
      <pivotArea outline="0" collapsedLevelsAreSubtotals="1" fieldPosition="0"/>
    </format>
  </format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C9D86-16D7-49BC-8386-04A85D465A19}" name="Tabela dinâmica10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1" rowHeaderCaption="Transportadora">
  <location ref="D15:E18" firstHeaderRow="1" firstDataRow="1" firstDataCol="1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Média de Custo_Transporte_USD" fld="10" subtotal="average" baseField="14" baseItem="0" numFmtId="166"/>
  </dataFields>
  <formats count="13">
    <format dxfId="1470">
      <pivotArea type="all" dataOnly="0" outline="0" fieldPosition="0"/>
    </format>
    <format dxfId="1471">
      <pivotArea outline="0" collapsedLevelsAreSubtotals="1" fieldPosition="0"/>
    </format>
    <format dxfId="1472">
      <pivotArea field="4" type="button" dataOnly="0" labelOnly="1" outline="0"/>
    </format>
    <format dxfId="1473">
      <pivotArea dataOnly="0" labelOnly="1" outline="0" axis="axisValues" fieldPosition="0"/>
    </format>
    <format dxfId="1474">
      <pivotArea type="all" dataOnly="0" outline="0" fieldPosition="0"/>
    </format>
    <format dxfId="1475">
      <pivotArea outline="0" collapsedLevelsAreSubtotals="1" fieldPosition="0"/>
    </format>
    <format dxfId="1476">
      <pivotArea field="4" type="button" dataOnly="0" labelOnly="1" outline="0"/>
    </format>
    <format dxfId="1477">
      <pivotArea dataOnly="0" labelOnly="1" outline="0" axis="axisValues" fieldPosition="0"/>
    </format>
    <format dxfId="1478">
      <pivotArea type="all" dataOnly="0" outline="0" fieldPosition="0"/>
    </format>
    <format dxfId="1479">
      <pivotArea outline="0" collapsedLevelsAreSubtotals="1" fieldPosition="0"/>
    </format>
    <format dxfId="1480">
      <pivotArea field="4" type="button" dataOnly="0" labelOnly="1" outline="0"/>
    </format>
    <format dxfId="1481">
      <pivotArea dataOnly="0" labelOnly="1" outline="0" axis="axisValues" fieldPosition="0"/>
    </format>
    <format dxfId="1469">
      <pivotArea outline="0" collapsedLevelsAreSubtotals="1" fieldPosition="0"/>
    </format>
  </format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E7C8B-7087-433B-BA62-8A4C587141D9}" name="Tabela dinâmica9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2" rowHeaderCaption="Transportadora">
  <location ref="D7:E12" firstHeaderRow="1" firstDataRow="1" firstDataCol="1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dataField="1" showAll="0">
      <items count="36">
        <item x="33"/>
        <item x="26"/>
        <item x="30"/>
        <item x="1"/>
        <item x="2"/>
        <item x="11"/>
        <item x="18"/>
        <item x="19"/>
        <item x="27"/>
        <item x="34"/>
        <item x="4"/>
        <item x="6"/>
        <item x="13"/>
        <item x="21"/>
        <item x="31"/>
        <item x="24"/>
        <item x="7"/>
        <item x="32"/>
        <item x="9"/>
        <item x="14"/>
        <item x="20"/>
        <item x="23"/>
        <item x="10"/>
        <item x="28"/>
        <item x="29"/>
        <item x="5"/>
        <item x="3"/>
        <item x="0"/>
        <item x="8"/>
        <item x="17"/>
        <item x="22"/>
        <item x="15"/>
        <item x="16"/>
        <item x="25"/>
        <item x="12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a de Peso_kg" fld="6" baseField="0" baseItem="0"/>
  </dataFields>
  <formats count="13">
    <format dxfId="1483">
      <pivotArea type="all" dataOnly="0" outline="0" fieldPosition="0"/>
    </format>
    <format dxfId="1484">
      <pivotArea outline="0" collapsedLevelsAreSubtotals="1" fieldPosition="0"/>
    </format>
    <format dxfId="1485">
      <pivotArea field="4" type="button" dataOnly="0" labelOnly="1" outline="0"/>
    </format>
    <format dxfId="1486">
      <pivotArea dataOnly="0" labelOnly="1" outline="0" axis="axisValues" fieldPosition="0"/>
    </format>
    <format dxfId="1487">
      <pivotArea type="all" dataOnly="0" outline="0" fieldPosition="0"/>
    </format>
    <format dxfId="1488">
      <pivotArea outline="0" collapsedLevelsAreSubtotals="1" fieldPosition="0"/>
    </format>
    <format dxfId="1489">
      <pivotArea field="4" type="button" dataOnly="0" labelOnly="1" outline="0"/>
    </format>
    <format dxfId="1490">
      <pivotArea dataOnly="0" labelOnly="1" outline="0" axis="axisValues" fieldPosition="0"/>
    </format>
    <format dxfId="1491">
      <pivotArea type="all" dataOnly="0" outline="0" fieldPosition="0"/>
    </format>
    <format dxfId="1492">
      <pivotArea outline="0" collapsedLevelsAreSubtotals="1" fieldPosition="0"/>
    </format>
    <format dxfId="1493">
      <pivotArea field="4" type="button" dataOnly="0" labelOnly="1" outline="0"/>
    </format>
    <format dxfId="1494">
      <pivotArea dataOnly="0" labelOnly="1" outline="0" axis="axisValues" fieldPosition="0"/>
    </format>
    <format dxfId="1495">
      <pivotArea outline="0" collapsedLevelsAreSubtotals="1" fieldPosition="0"/>
    </format>
  </formats>
  <chartFormats count="6">
    <chartFormat chart="2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9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9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9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9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EE36A-AA6E-43E6-AB42-DF8316435E20}" name="Tabela dinâmica8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5" rowHeaderCaption="Transportadora">
  <location ref="D3:D4" firstHeaderRow="1" firstDataRow="1" firstDataCol="0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ntagem de Status_Entrega" fld="8" subtotal="count" baseField="0" baseItem="0"/>
  </dataFields>
  <formats count="13">
    <format dxfId="1497">
      <pivotArea type="all" dataOnly="0" outline="0" fieldPosition="0"/>
    </format>
    <format dxfId="1498">
      <pivotArea outline="0" collapsedLevelsAreSubtotals="1" fieldPosition="0"/>
    </format>
    <format dxfId="1499">
      <pivotArea field="4" type="button" dataOnly="0" labelOnly="1" outline="0"/>
    </format>
    <format dxfId="1500">
      <pivotArea dataOnly="0" labelOnly="1" outline="0" axis="axisValues" fieldPosition="0"/>
    </format>
    <format dxfId="1501">
      <pivotArea type="all" dataOnly="0" outline="0" fieldPosition="0"/>
    </format>
    <format dxfId="1502">
      <pivotArea outline="0" collapsedLevelsAreSubtotals="1" fieldPosition="0"/>
    </format>
    <format dxfId="1503">
      <pivotArea field="4" type="button" dataOnly="0" labelOnly="1" outline="0"/>
    </format>
    <format dxfId="1504">
      <pivotArea dataOnly="0" labelOnly="1" outline="0" axis="axisValues" fieldPosition="0"/>
    </format>
    <format dxfId="1505">
      <pivotArea type="all" dataOnly="0" outline="0" fieldPosition="0"/>
    </format>
    <format dxfId="1506">
      <pivotArea outline="0" collapsedLevelsAreSubtotals="1" fieldPosition="0"/>
    </format>
    <format dxfId="1507">
      <pivotArea field="4" type="button" dataOnly="0" labelOnly="1" outline="0"/>
    </format>
    <format dxfId="1508">
      <pivotArea dataOnly="0" labelOnly="1" outline="0" axis="axisValues" fieldPosition="0"/>
    </format>
    <format dxfId="1496">
      <pivotArea outline="0" collapsedLevelsAreSubtotals="1" fieldPosition="0"/>
    </format>
  </formats>
  <chartFormats count="2"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55B3A-9FC9-4EEA-A197-A3273A2A07E9}" name="Tabela dinâmica7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8" rowHeaderCaption="Transportadora">
  <location ref="A11:B15" firstHeaderRow="1" firstDataRow="1" firstDataCol="1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Média de Tempo_Entrega_Dias" fld="9" subtotal="average" baseField="4" baseItem="1" numFmtId="1"/>
  </dataFields>
  <formats count="16">
    <format dxfId="1529">
      <pivotArea type="all" dataOnly="0" outline="0" fieldPosition="0"/>
    </format>
    <format dxfId="1530">
      <pivotArea outline="0" collapsedLevelsAreSubtotals="1" fieldPosition="0"/>
    </format>
    <format dxfId="1531">
      <pivotArea field="4" type="button" dataOnly="0" labelOnly="1" outline="0" axis="axisRow" fieldPosition="0"/>
    </format>
    <format dxfId="1532">
      <pivotArea dataOnly="0" labelOnly="1" fieldPosition="0">
        <references count="1">
          <reference field="4" count="0"/>
        </references>
      </pivotArea>
    </format>
    <format dxfId="1533">
      <pivotArea dataOnly="0" labelOnly="1" outline="0" axis="axisValues" fieldPosition="0"/>
    </format>
    <format dxfId="1528">
      <pivotArea type="all" dataOnly="0" outline="0" fieldPosition="0"/>
    </format>
    <format dxfId="1527">
      <pivotArea outline="0" collapsedLevelsAreSubtotals="1" fieldPosition="0"/>
    </format>
    <format dxfId="1526">
      <pivotArea field="4" type="button" dataOnly="0" labelOnly="1" outline="0" axis="axisRow" fieldPosition="0"/>
    </format>
    <format dxfId="1525">
      <pivotArea dataOnly="0" labelOnly="1" fieldPosition="0">
        <references count="1">
          <reference field="4" count="0"/>
        </references>
      </pivotArea>
    </format>
    <format dxfId="1524">
      <pivotArea dataOnly="0" labelOnly="1" outline="0" axis="axisValues" fieldPosition="0"/>
    </format>
    <format dxfId="1518">
      <pivotArea type="all" dataOnly="0" outline="0" fieldPosition="0"/>
    </format>
    <format dxfId="1517">
      <pivotArea outline="0" collapsedLevelsAreSubtotals="1" fieldPosition="0"/>
    </format>
    <format dxfId="1516">
      <pivotArea field="4" type="button" dataOnly="0" labelOnly="1" outline="0" axis="axisRow" fieldPosition="0"/>
    </format>
    <format dxfId="1515">
      <pivotArea dataOnly="0" labelOnly="1" fieldPosition="0">
        <references count="1">
          <reference field="4" count="0"/>
        </references>
      </pivotArea>
    </format>
    <format dxfId="1514">
      <pivotArea dataOnly="0" labelOnly="1" outline="0" axis="axisValues" fieldPosition="0"/>
    </format>
    <format dxfId="1482">
      <pivotArea outline="0" collapsedLevelsAreSubtotals="1" fieldPosition="0"/>
    </format>
  </formats>
  <chartFormats count="1"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84BB6-55EE-4BCC-BC15-FE240D117CC6}" name="Tabela dinâmica2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Transportadora">
  <location ref="A3:B7" firstHeaderRow="1" firstDataRow="1" firstDataCol="1"/>
  <pivotFields count="15">
    <pivotField showAll="0"/>
    <pivotField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de Custo_Transporte" fld="10" baseField="4" baseItem="0" numFmtId="44"/>
  </dataFields>
  <formats count="15">
    <format dxfId="1538">
      <pivotArea type="all" dataOnly="0" outline="0" fieldPosition="0"/>
    </format>
    <format dxfId="1537">
      <pivotArea outline="0" collapsedLevelsAreSubtotals="1" fieldPosition="0"/>
    </format>
    <format dxfId="1536">
      <pivotArea field="4" type="button" dataOnly="0" labelOnly="1" outline="0" axis="axisRow" fieldPosition="0"/>
    </format>
    <format dxfId="1535">
      <pivotArea dataOnly="0" labelOnly="1" fieldPosition="0">
        <references count="1">
          <reference field="4" count="0"/>
        </references>
      </pivotArea>
    </format>
    <format dxfId="1534">
      <pivotArea dataOnly="0" labelOnly="1" outline="0" axis="axisValues" fieldPosition="0"/>
    </format>
    <format dxfId="1523">
      <pivotArea type="all" dataOnly="0" outline="0" fieldPosition="0"/>
    </format>
    <format dxfId="1522">
      <pivotArea outline="0" collapsedLevelsAreSubtotals="1" fieldPosition="0"/>
    </format>
    <format dxfId="1521">
      <pivotArea field="4" type="button" dataOnly="0" labelOnly="1" outline="0" axis="axisRow" fieldPosition="0"/>
    </format>
    <format dxfId="1520">
      <pivotArea dataOnly="0" labelOnly="1" fieldPosition="0">
        <references count="1">
          <reference field="4" count="0"/>
        </references>
      </pivotArea>
    </format>
    <format dxfId="1519">
      <pivotArea dataOnly="0" labelOnly="1" outline="0" axis="axisValues" fieldPosition="0"/>
    </format>
    <format dxfId="1513">
      <pivotArea type="all" dataOnly="0" outline="0" fieldPosition="0"/>
    </format>
    <format dxfId="1512">
      <pivotArea outline="0" collapsedLevelsAreSubtotals="1" fieldPosition="0"/>
    </format>
    <format dxfId="1511">
      <pivotArea field="4" type="button" dataOnly="0" labelOnly="1" outline="0" axis="axisRow" fieldPosition="0"/>
    </format>
    <format dxfId="1510">
      <pivotArea dataOnly="0" labelOnly="1" fieldPosition="0">
        <references count="1">
          <reference field="4" count="0"/>
        </references>
      </pivotArea>
    </format>
    <format dxfId="1509">
      <pivotArea dataOnly="0" labelOnly="1" outline="0" axis="axisValues" fieldPosition="0"/>
    </format>
  </formats>
  <chartFormats count="5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Entrega" xr10:uid="{495EEF94-0C5A-4770-9E10-2288C93209CA}" sourceName="Status_Entrega">
  <pivotTables>
    <pivotTable tabId="2" name="Tabela dinâmica8"/>
    <pivotTable tabId="2" name="Tabela dinâmica2"/>
    <pivotTable tabId="2" name="Tabela dinâmica7"/>
    <pivotTable tabId="2" name="Tabela dinâmica9"/>
    <pivotTable tabId="2" name="Tabela dinâmica10"/>
    <pivotTable tabId="2" name="Tabela dinâmica11"/>
    <pivotTable tabId="2" name="Tabela dinâmica13"/>
    <pivotTable tabId="2" name="Tabela dinâmica14"/>
    <pivotTable tabId="2" name="Tabela dinâmica16"/>
    <pivotTable tabId="2" name="Tabela dinâmica18"/>
  </pivotTables>
  <data>
    <tabular pivotCacheId="1501110108">
      <items count="4">
        <i x="3" s="1"/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igem" xr10:uid="{E2990DFD-3554-4A9C-BE4A-23613425D0EA}" sourceName="Origem">
  <pivotTables>
    <pivotTable tabId="2" name="Tabela dinâmica2"/>
    <pivotTable tabId="2" name="Tabela dinâmica7"/>
    <pivotTable tabId="2" name="Tabela dinâmica8"/>
    <pivotTable tabId="2" name="Tabela dinâmica9"/>
    <pivotTable tabId="2" name="Tabela dinâmica10"/>
    <pivotTable tabId="2" name="Tabela dinâmica11"/>
    <pivotTable tabId="2" name="Tabela dinâmica13"/>
    <pivotTable tabId="2" name="Tabela dinâmica14"/>
    <pivotTable tabId="2" name="Tabela dinâmica16"/>
    <pivotTable tabId="2" name="Tabela dinâmica18"/>
  </pivotTables>
  <data>
    <tabular pivotCacheId="1501110108">
      <items count="5">
        <i x="2" s="1"/>
        <i x="4" s="1"/>
        <i x="0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_Entrega" xr10:uid="{9256390A-DE59-4C44-8B5C-D6EC9CDA2F50}" cache="SegmentaçãodeDados_Status_Entrega" caption="Status_Entrega" rowHeight="241300"/>
  <slicer name="Origem" xr10:uid="{E1E5E857-D310-4D36-B935-C1FB53450F18}" cache="SegmentaçãodeDados_Origem" caption="Orig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59E6C-234F-4851-A7F6-A300931C3B94}" name="Tabela1" displayName="Tabela1" ref="A1:P36" totalsRowShown="0" headerRowDxfId="1436" headerRowBorderDxfId="1454" tableBorderDxfId="1455" totalsRowBorderDxfId="1453">
  <autoFilter ref="A1:P36" xr:uid="{D5359E6C-234F-4851-A7F6-A300931C3B94}"/>
  <sortState xmlns:xlrd2="http://schemas.microsoft.com/office/spreadsheetml/2017/richdata2" ref="A2:O36">
    <sortCondition descending="1" ref="K1:K36"/>
  </sortState>
  <tableColumns count="16">
    <tableColumn id="1" xr3:uid="{9EDB0DDF-EEF2-4B0D-AFAB-3F5ABA1A650D}" name="ID_Envio" dataDxfId="1452"/>
    <tableColumn id="2" xr3:uid="{5663270F-3E2C-4524-80F4-1E269347FF90}" name="Data_Envio" dataDxfId="1451"/>
    <tableColumn id="3" xr3:uid="{345B731E-87A9-4FCB-A514-C8914CA4A0D7}" name="Origem" dataDxfId="1450"/>
    <tableColumn id="4" xr3:uid="{EB85C901-8086-42BB-BF53-67617E2E8FF1}" name="Destino" dataDxfId="1449"/>
    <tableColumn id="5" xr3:uid="{D5BDE22C-16D6-483A-9CBD-A25EF0C67008}" name="Transportadora" dataDxfId="1448"/>
    <tableColumn id="6" xr3:uid="{5332BD44-9CCB-404C-8FB4-7F22B5A06B24}" name="Tipo_Carga" dataDxfId="1447"/>
    <tableColumn id="7" xr3:uid="{9A164BBE-927D-4527-A05D-43C37D377D52}" name="Peso_kg" dataDxfId="1446"/>
    <tableColumn id="8" xr3:uid="{D796729C-A2B2-4DDD-B72F-F4E7FE7EF644}" name="Volume_m3" dataDxfId="1445"/>
    <tableColumn id="9" xr3:uid="{7CD5295E-B7B5-46D9-B52B-C7736995524F}" name="Status_Entrega" dataDxfId="1444"/>
    <tableColumn id="10" xr3:uid="{62D4C85D-7895-4EBA-BCC7-706CDEBEA1CA}" name="Tempo_Entrega_Dias" dataDxfId="1443"/>
    <tableColumn id="11" xr3:uid="{029CE9F7-C0F3-4EB4-9A61-D728E6B3F5C5}" name="Custo_Transporte_USD" dataDxfId="1442"/>
    <tableColumn id="12" xr3:uid="{F66A0734-72B1-4242-955F-0C0737E0D1A2}" name="Motorista" dataDxfId="1441"/>
    <tableColumn id="13" xr3:uid="{D9DE71B0-99FB-404E-96C3-CA586C438B24}" name="Veiculo" dataDxfId="1440"/>
    <tableColumn id="14" xr3:uid="{70786069-4DB3-47FC-ABB7-7B4EC55FF7CE}" name="Prioridade" dataDxfId="1439"/>
    <tableColumn id="15" xr3:uid="{2BFD982D-80C9-473E-ABA8-7A099F3C6FF9}" name="Armazem" dataDxfId="1438"/>
    <tableColumn id="16" xr3:uid="{2D016FAB-8732-4EDD-AA68-4D0CC61B4BDD}" name="Condição_Peso" dataDxfId="1437">
      <calculatedColumnFormula>IF(G2&gt;3000,"Carga Pesada","Normal")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opLeftCell="J1" workbookViewId="0">
      <selection activeCell="R11" sqref="R11"/>
    </sheetView>
  </sheetViews>
  <sheetFormatPr defaultRowHeight="15" x14ac:dyDescent="0.25"/>
  <cols>
    <col min="1" max="10" width="22" customWidth="1"/>
    <col min="11" max="11" width="23.42578125" customWidth="1"/>
    <col min="12" max="15" width="22" customWidth="1"/>
    <col min="16" max="16" width="16.85546875" bestFit="1" customWidth="1"/>
    <col min="18" max="18" width="12.5703125" bestFit="1" customWidth="1"/>
  </cols>
  <sheetData>
    <row r="1" spans="1:18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127</v>
      </c>
    </row>
    <row r="2" spans="1:18" x14ac:dyDescent="0.25">
      <c r="A2" s="10" t="s">
        <v>73</v>
      </c>
      <c r="B2" s="11" t="s">
        <v>74</v>
      </c>
      <c r="C2" s="11" t="s">
        <v>17</v>
      </c>
      <c r="D2" s="11" t="s">
        <v>48</v>
      </c>
      <c r="E2" s="11" t="s">
        <v>34</v>
      </c>
      <c r="F2" s="11" t="s">
        <v>75</v>
      </c>
      <c r="G2" s="11">
        <v>4687</v>
      </c>
      <c r="H2" s="11">
        <v>21.89</v>
      </c>
      <c r="I2" s="11" t="s">
        <v>54</v>
      </c>
      <c r="J2" s="11">
        <v>14</v>
      </c>
      <c r="K2" s="11">
        <v>14627.84</v>
      </c>
      <c r="L2" s="11" t="s">
        <v>37</v>
      </c>
      <c r="M2" s="11" t="s">
        <v>38</v>
      </c>
      <c r="N2" s="11" t="s">
        <v>24</v>
      </c>
      <c r="O2" s="11" t="s">
        <v>44</v>
      </c>
      <c r="P2" s="12" t="str">
        <f t="shared" ref="P2:P36" si="0">IF(G2&gt;3000,"Carga Pesada","Normal")</f>
        <v>Carga Pesada</v>
      </c>
    </row>
    <row r="3" spans="1:18" x14ac:dyDescent="0.25">
      <c r="A3" s="10" t="s">
        <v>102</v>
      </c>
      <c r="B3" s="11" t="s">
        <v>74</v>
      </c>
      <c r="C3" s="11" t="s">
        <v>28</v>
      </c>
      <c r="D3" s="11" t="s">
        <v>48</v>
      </c>
      <c r="E3" s="11" t="s">
        <v>42</v>
      </c>
      <c r="F3" s="11" t="s">
        <v>35</v>
      </c>
      <c r="G3" s="11">
        <v>4560</v>
      </c>
      <c r="H3" s="11">
        <v>49.37</v>
      </c>
      <c r="I3" s="11" t="s">
        <v>54</v>
      </c>
      <c r="J3" s="11">
        <v>12</v>
      </c>
      <c r="K3" s="11">
        <v>14453.21</v>
      </c>
      <c r="L3" s="11" t="s">
        <v>78</v>
      </c>
      <c r="M3" s="11" t="s">
        <v>83</v>
      </c>
      <c r="N3" s="11" t="s">
        <v>62</v>
      </c>
      <c r="O3" s="11" t="s">
        <v>30</v>
      </c>
      <c r="P3" s="12" t="str">
        <f t="shared" si="0"/>
        <v>Carga Pesada</v>
      </c>
    </row>
    <row r="4" spans="1:18" x14ac:dyDescent="0.25">
      <c r="A4" s="10" t="s">
        <v>116</v>
      </c>
      <c r="B4" s="11" t="s">
        <v>117</v>
      </c>
      <c r="C4" s="11" t="s">
        <v>33</v>
      </c>
      <c r="D4" s="11" t="s">
        <v>41</v>
      </c>
      <c r="E4" s="11" t="s">
        <v>34</v>
      </c>
      <c r="F4" s="11" t="s">
        <v>53</v>
      </c>
      <c r="G4" s="11">
        <v>605</v>
      </c>
      <c r="H4" s="11">
        <v>47.6</v>
      </c>
      <c r="I4" s="11" t="s">
        <v>54</v>
      </c>
      <c r="J4" s="11">
        <v>3</v>
      </c>
      <c r="K4" s="11">
        <v>13284.86</v>
      </c>
      <c r="L4" s="11" t="s">
        <v>29</v>
      </c>
      <c r="M4" s="11" t="s">
        <v>55</v>
      </c>
      <c r="N4" s="11" t="s">
        <v>24</v>
      </c>
      <c r="O4" s="11" t="s">
        <v>25</v>
      </c>
      <c r="P4" s="12" t="str">
        <f t="shared" si="0"/>
        <v>Normal</v>
      </c>
    </row>
    <row r="5" spans="1:18" x14ac:dyDescent="0.25">
      <c r="A5" s="10" t="s">
        <v>56</v>
      </c>
      <c r="B5" s="11" t="s">
        <v>57</v>
      </c>
      <c r="C5" s="11" t="s">
        <v>47</v>
      </c>
      <c r="D5" s="11" t="s">
        <v>18</v>
      </c>
      <c r="E5" s="11" t="s">
        <v>34</v>
      </c>
      <c r="F5" s="11" t="s">
        <v>53</v>
      </c>
      <c r="G5" s="11">
        <v>2300</v>
      </c>
      <c r="H5" s="11">
        <v>46.23</v>
      </c>
      <c r="I5" s="11" t="s">
        <v>36</v>
      </c>
      <c r="J5" s="11">
        <v>13</v>
      </c>
      <c r="K5" s="11">
        <v>12652.21</v>
      </c>
      <c r="L5" s="11" t="s">
        <v>43</v>
      </c>
      <c r="M5" s="11" t="s">
        <v>38</v>
      </c>
      <c r="N5" s="11" t="s">
        <v>58</v>
      </c>
      <c r="O5" s="11" t="s">
        <v>25</v>
      </c>
      <c r="P5" s="12" t="str">
        <f t="shared" si="0"/>
        <v>Normal</v>
      </c>
      <c r="R5" t="str">
        <f>IF(G2&gt;3000,"")</f>
        <v/>
      </c>
    </row>
    <row r="6" spans="1:18" x14ac:dyDescent="0.25">
      <c r="A6" s="10" t="s">
        <v>79</v>
      </c>
      <c r="B6" s="11" t="s">
        <v>80</v>
      </c>
      <c r="C6" s="11" t="s">
        <v>17</v>
      </c>
      <c r="D6" s="11" t="s">
        <v>48</v>
      </c>
      <c r="E6" s="11" t="s">
        <v>49</v>
      </c>
      <c r="F6" s="11" t="s">
        <v>53</v>
      </c>
      <c r="G6" s="11">
        <v>2828</v>
      </c>
      <c r="H6" s="11">
        <v>49.19</v>
      </c>
      <c r="I6" s="11" t="s">
        <v>65</v>
      </c>
      <c r="J6" s="11">
        <v>9</v>
      </c>
      <c r="K6" s="11">
        <v>12590.07</v>
      </c>
      <c r="L6" s="11" t="s">
        <v>43</v>
      </c>
      <c r="M6" s="11" t="s">
        <v>38</v>
      </c>
      <c r="N6" s="11" t="s">
        <v>62</v>
      </c>
      <c r="O6" s="11" t="s">
        <v>25</v>
      </c>
      <c r="P6" s="12" t="str">
        <f t="shared" si="0"/>
        <v>Normal</v>
      </c>
    </row>
    <row r="7" spans="1:18" x14ac:dyDescent="0.25">
      <c r="A7" s="10" t="s">
        <v>95</v>
      </c>
      <c r="B7" s="11" t="s">
        <v>96</v>
      </c>
      <c r="C7" s="11" t="s">
        <v>88</v>
      </c>
      <c r="D7" s="11" t="s">
        <v>48</v>
      </c>
      <c r="E7" s="11" t="s">
        <v>34</v>
      </c>
      <c r="F7" s="11" t="s">
        <v>75</v>
      </c>
      <c r="G7" s="11">
        <v>2501</v>
      </c>
      <c r="H7" s="11">
        <v>27.18</v>
      </c>
      <c r="I7" s="11" t="s">
        <v>36</v>
      </c>
      <c r="J7" s="11">
        <v>12</v>
      </c>
      <c r="K7" s="11">
        <v>11937.65</v>
      </c>
      <c r="L7" s="11" t="s">
        <v>37</v>
      </c>
      <c r="M7" s="11" t="s">
        <v>83</v>
      </c>
      <c r="N7" s="11" t="s">
        <v>58</v>
      </c>
      <c r="O7" s="11" t="s">
        <v>44</v>
      </c>
      <c r="P7" s="12" t="str">
        <f t="shared" si="0"/>
        <v>Normal</v>
      </c>
    </row>
    <row r="8" spans="1:18" x14ac:dyDescent="0.25">
      <c r="A8" s="10" t="s">
        <v>114</v>
      </c>
      <c r="B8" s="11" t="s">
        <v>115</v>
      </c>
      <c r="C8" s="11" t="s">
        <v>88</v>
      </c>
      <c r="D8" s="11" t="s">
        <v>41</v>
      </c>
      <c r="E8" s="11" t="s">
        <v>34</v>
      </c>
      <c r="F8" s="11" t="s">
        <v>35</v>
      </c>
      <c r="G8" s="11">
        <v>2742</v>
      </c>
      <c r="H8" s="11">
        <v>29.35</v>
      </c>
      <c r="I8" s="11" t="s">
        <v>65</v>
      </c>
      <c r="J8" s="11">
        <v>13</v>
      </c>
      <c r="K8" s="11">
        <v>10691.54</v>
      </c>
      <c r="L8" s="11" t="s">
        <v>29</v>
      </c>
      <c r="M8" s="11" t="s">
        <v>55</v>
      </c>
      <c r="N8" s="11" t="s">
        <v>24</v>
      </c>
      <c r="O8" s="11" t="s">
        <v>25</v>
      </c>
      <c r="P8" s="12" t="str">
        <f t="shared" si="0"/>
        <v>Normal</v>
      </c>
    </row>
    <row r="9" spans="1:18" x14ac:dyDescent="0.25">
      <c r="A9" s="10" t="s">
        <v>109</v>
      </c>
      <c r="B9" s="11" t="s">
        <v>110</v>
      </c>
      <c r="C9" s="11" t="s">
        <v>88</v>
      </c>
      <c r="D9" s="11" t="s">
        <v>48</v>
      </c>
      <c r="E9" s="11" t="s">
        <v>34</v>
      </c>
      <c r="F9" s="11" t="s">
        <v>53</v>
      </c>
      <c r="G9" s="11">
        <v>3402</v>
      </c>
      <c r="H9" s="11">
        <v>21.95</v>
      </c>
      <c r="I9" s="11" t="s">
        <v>65</v>
      </c>
      <c r="J9" s="11">
        <v>12</v>
      </c>
      <c r="K9" s="11">
        <v>10651.91</v>
      </c>
      <c r="L9" s="11" t="s">
        <v>29</v>
      </c>
      <c r="M9" s="11" t="s">
        <v>55</v>
      </c>
      <c r="N9" s="11" t="s">
        <v>62</v>
      </c>
      <c r="O9" s="11" t="s">
        <v>44</v>
      </c>
      <c r="P9" s="12" t="str">
        <f t="shared" si="0"/>
        <v>Carga Pesada</v>
      </c>
      <c r="R9">
        <f>COUNTIF(I:I,"Entregue")</f>
        <v>7</v>
      </c>
    </row>
    <row r="10" spans="1:18" x14ac:dyDescent="0.25">
      <c r="A10" s="10" t="s">
        <v>105</v>
      </c>
      <c r="B10" s="11" t="s">
        <v>106</v>
      </c>
      <c r="C10" s="11" t="s">
        <v>33</v>
      </c>
      <c r="D10" s="11" t="s">
        <v>68</v>
      </c>
      <c r="E10" s="11" t="s">
        <v>42</v>
      </c>
      <c r="F10" s="11" t="s">
        <v>75</v>
      </c>
      <c r="G10" s="11">
        <v>1922</v>
      </c>
      <c r="H10" s="11">
        <v>3.82</v>
      </c>
      <c r="I10" s="11" t="s">
        <v>36</v>
      </c>
      <c r="J10" s="11">
        <v>7</v>
      </c>
      <c r="K10" s="11">
        <v>9238.06</v>
      </c>
      <c r="L10" s="11" t="s">
        <v>78</v>
      </c>
      <c r="M10" s="11" t="s">
        <v>38</v>
      </c>
      <c r="N10" s="11" t="s">
        <v>24</v>
      </c>
      <c r="O10" s="11" t="s">
        <v>30</v>
      </c>
      <c r="P10" s="12" t="str">
        <f t="shared" si="0"/>
        <v>Normal</v>
      </c>
    </row>
    <row r="11" spans="1:18" x14ac:dyDescent="0.25">
      <c r="A11" s="10" t="s">
        <v>66</v>
      </c>
      <c r="B11" s="11" t="s">
        <v>67</v>
      </c>
      <c r="C11" s="11" t="s">
        <v>28</v>
      </c>
      <c r="D11" s="11" t="s">
        <v>68</v>
      </c>
      <c r="E11" s="11" t="s">
        <v>19</v>
      </c>
      <c r="F11" s="11" t="s">
        <v>20</v>
      </c>
      <c r="G11" s="11">
        <v>2820</v>
      </c>
      <c r="H11" s="11">
        <v>35.520000000000003</v>
      </c>
      <c r="I11" s="11" t="s">
        <v>36</v>
      </c>
      <c r="J11" s="11">
        <v>4</v>
      </c>
      <c r="K11" s="11">
        <v>8815.48</v>
      </c>
      <c r="L11" s="11" t="s">
        <v>22</v>
      </c>
      <c r="M11" s="11" t="s">
        <v>55</v>
      </c>
      <c r="N11" s="11" t="s">
        <v>62</v>
      </c>
      <c r="O11" s="11" t="s">
        <v>30</v>
      </c>
      <c r="P11" s="12" t="str">
        <f t="shared" si="0"/>
        <v>Normal</v>
      </c>
    </row>
    <row r="12" spans="1:18" x14ac:dyDescent="0.25">
      <c r="A12" s="10" t="s">
        <v>26</v>
      </c>
      <c r="B12" s="11" t="s">
        <v>27</v>
      </c>
      <c r="C12" s="11" t="s">
        <v>28</v>
      </c>
      <c r="D12" s="11" t="s">
        <v>18</v>
      </c>
      <c r="E12" s="11" t="s">
        <v>19</v>
      </c>
      <c r="F12" s="11" t="s">
        <v>20</v>
      </c>
      <c r="G12" s="11">
        <v>1163</v>
      </c>
      <c r="H12" s="11">
        <v>9.34</v>
      </c>
      <c r="I12" s="11" t="s">
        <v>21</v>
      </c>
      <c r="J12" s="11">
        <v>13</v>
      </c>
      <c r="K12" s="11">
        <v>7554.12</v>
      </c>
      <c r="L12" s="11" t="s">
        <v>29</v>
      </c>
      <c r="M12" s="11" t="s">
        <v>23</v>
      </c>
      <c r="N12" s="11" t="s">
        <v>24</v>
      </c>
      <c r="O12" s="11" t="s">
        <v>30</v>
      </c>
      <c r="P12" s="12" t="str">
        <f t="shared" si="0"/>
        <v>Normal</v>
      </c>
      <c r="R12">
        <f>MIN(J:J)</f>
        <v>1</v>
      </c>
    </row>
    <row r="13" spans="1:18" x14ac:dyDescent="0.25">
      <c r="A13" s="10" t="s">
        <v>118</v>
      </c>
      <c r="B13" s="11" t="s">
        <v>119</v>
      </c>
      <c r="C13" s="11" t="s">
        <v>47</v>
      </c>
      <c r="D13" s="11" t="s">
        <v>41</v>
      </c>
      <c r="E13" s="11" t="s">
        <v>19</v>
      </c>
      <c r="F13" s="11" t="s">
        <v>53</v>
      </c>
      <c r="G13" s="11">
        <v>1961</v>
      </c>
      <c r="H13" s="11">
        <v>25.08</v>
      </c>
      <c r="I13" s="11" t="s">
        <v>21</v>
      </c>
      <c r="J13" s="11">
        <v>8</v>
      </c>
      <c r="K13" s="11">
        <v>7455.33</v>
      </c>
      <c r="L13" s="11" t="s">
        <v>43</v>
      </c>
      <c r="M13" s="11" t="s">
        <v>83</v>
      </c>
      <c r="N13" s="11" t="s">
        <v>24</v>
      </c>
      <c r="O13" s="11" t="s">
        <v>25</v>
      </c>
      <c r="P13" s="12" t="str">
        <f t="shared" si="0"/>
        <v>Normal</v>
      </c>
    </row>
    <row r="14" spans="1:18" x14ac:dyDescent="0.25">
      <c r="A14" s="10" t="s">
        <v>93</v>
      </c>
      <c r="B14" s="11" t="s">
        <v>94</v>
      </c>
      <c r="C14" s="11" t="s">
        <v>17</v>
      </c>
      <c r="D14" s="11" t="s">
        <v>18</v>
      </c>
      <c r="E14" s="11" t="s">
        <v>49</v>
      </c>
      <c r="F14" s="11" t="s">
        <v>35</v>
      </c>
      <c r="G14" s="11">
        <v>2884</v>
      </c>
      <c r="H14" s="11">
        <v>20.399999999999999</v>
      </c>
      <c r="I14" s="11" t="s">
        <v>36</v>
      </c>
      <c r="J14" s="11">
        <v>6</v>
      </c>
      <c r="K14" s="11">
        <v>7447.55</v>
      </c>
      <c r="L14" s="11" t="s">
        <v>29</v>
      </c>
      <c r="M14" s="11" t="s">
        <v>38</v>
      </c>
      <c r="N14" s="11" t="s">
        <v>24</v>
      </c>
      <c r="O14" s="11" t="s">
        <v>44</v>
      </c>
      <c r="P14" s="12" t="str">
        <f t="shared" si="0"/>
        <v>Normal</v>
      </c>
    </row>
    <row r="15" spans="1:18" x14ac:dyDescent="0.25">
      <c r="A15" s="10" t="s">
        <v>76</v>
      </c>
      <c r="B15" s="11" t="s">
        <v>77</v>
      </c>
      <c r="C15" s="11" t="s">
        <v>28</v>
      </c>
      <c r="D15" s="11" t="s">
        <v>48</v>
      </c>
      <c r="E15" s="11" t="s">
        <v>34</v>
      </c>
      <c r="F15" s="11" t="s">
        <v>53</v>
      </c>
      <c r="G15" s="11">
        <v>2320</v>
      </c>
      <c r="H15" s="11">
        <v>42.49</v>
      </c>
      <c r="I15" s="11" t="s">
        <v>65</v>
      </c>
      <c r="J15" s="11">
        <v>14</v>
      </c>
      <c r="K15" s="11">
        <v>7175.99</v>
      </c>
      <c r="L15" s="11" t="s">
        <v>78</v>
      </c>
      <c r="M15" s="11" t="s">
        <v>55</v>
      </c>
      <c r="N15" s="11" t="s">
        <v>24</v>
      </c>
      <c r="O15" s="11" t="s">
        <v>30</v>
      </c>
      <c r="P15" s="12" t="str">
        <f t="shared" si="0"/>
        <v>Normal</v>
      </c>
      <c r="R15">
        <f>MAX(K:K)</f>
        <v>14627.84</v>
      </c>
    </row>
    <row r="16" spans="1:18" x14ac:dyDescent="0.25">
      <c r="A16" s="10" t="s">
        <v>86</v>
      </c>
      <c r="B16" s="11" t="s">
        <v>87</v>
      </c>
      <c r="C16" s="11" t="s">
        <v>88</v>
      </c>
      <c r="D16" s="11" t="s">
        <v>18</v>
      </c>
      <c r="E16" s="11" t="s">
        <v>42</v>
      </c>
      <c r="F16" s="11" t="s">
        <v>35</v>
      </c>
      <c r="G16" s="11">
        <v>3883</v>
      </c>
      <c r="H16" s="11">
        <v>10.17</v>
      </c>
      <c r="I16" s="11" t="s">
        <v>36</v>
      </c>
      <c r="J16" s="11">
        <v>9</v>
      </c>
      <c r="K16" s="11">
        <v>7095.45</v>
      </c>
      <c r="L16" s="11" t="s">
        <v>78</v>
      </c>
      <c r="M16" s="11" t="s">
        <v>23</v>
      </c>
      <c r="N16" s="11" t="s">
        <v>58</v>
      </c>
      <c r="O16" s="11" t="s">
        <v>25</v>
      </c>
      <c r="P16" s="12" t="str">
        <f t="shared" si="0"/>
        <v>Carga Pesada</v>
      </c>
    </row>
    <row r="17" spans="1:18" x14ac:dyDescent="0.25">
      <c r="A17" s="10" t="s">
        <v>63</v>
      </c>
      <c r="B17" s="11" t="s">
        <v>64</v>
      </c>
      <c r="C17" s="11" t="s">
        <v>17</v>
      </c>
      <c r="D17" s="11" t="s">
        <v>48</v>
      </c>
      <c r="E17" s="11" t="s">
        <v>42</v>
      </c>
      <c r="F17" s="11" t="s">
        <v>61</v>
      </c>
      <c r="G17" s="11">
        <v>3738</v>
      </c>
      <c r="H17" s="11">
        <v>16.64</v>
      </c>
      <c r="I17" s="11" t="s">
        <v>65</v>
      </c>
      <c r="J17" s="11">
        <v>13</v>
      </c>
      <c r="K17" s="11">
        <v>6309.93</v>
      </c>
      <c r="L17" s="11" t="s">
        <v>37</v>
      </c>
      <c r="M17" s="11" t="s">
        <v>55</v>
      </c>
      <c r="N17" s="11" t="s">
        <v>24</v>
      </c>
      <c r="O17" s="11" t="s">
        <v>44</v>
      </c>
      <c r="P17" s="12" t="str">
        <f t="shared" si="0"/>
        <v>Carga Pesada</v>
      </c>
    </row>
    <row r="18" spans="1:18" x14ac:dyDescent="0.25">
      <c r="A18" s="10" t="s">
        <v>84</v>
      </c>
      <c r="B18" s="11" t="s">
        <v>85</v>
      </c>
      <c r="C18" s="11" t="s">
        <v>28</v>
      </c>
      <c r="D18" s="11" t="s">
        <v>41</v>
      </c>
      <c r="E18" s="11" t="s">
        <v>49</v>
      </c>
      <c r="F18" s="11" t="s">
        <v>53</v>
      </c>
      <c r="G18" s="11">
        <v>4200</v>
      </c>
      <c r="H18" s="11">
        <v>26.52</v>
      </c>
      <c r="I18" s="11" t="s">
        <v>54</v>
      </c>
      <c r="J18" s="11">
        <v>7</v>
      </c>
      <c r="K18" s="11">
        <v>5902.8</v>
      </c>
      <c r="L18" s="11" t="s">
        <v>37</v>
      </c>
      <c r="M18" s="11" t="s">
        <v>83</v>
      </c>
      <c r="N18" s="11" t="s">
        <v>62</v>
      </c>
      <c r="O18" s="11" t="s">
        <v>25</v>
      </c>
      <c r="P18" s="12" t="str">
        <f t="shared" si="0"/>
        <v>Carga Pesada</v>
      </c>
    </row>
    <row r="19" spans="1:18" x14ac:dyDescent="0.25">
      <c r="A19" s="10" t="s">
        <v>31</v>
      </c>
      <c r="B19" s="11" t="s">
        <v>32</v>
      </c>
      <c r="C19" s="11" t="s">
        <v>33</v>
      </c>
      <c r="D19" s="11" t="s">
        <v>18</v>
      </c>
      <c r="E19" s="11" t="s">
        <v>34</v>
      </c>
      <c r="F19" s="11" t="s">
        <v>35</v>
      </c>
      <c r="G19" s="11">
        <v>1198</v>
      </c>
      <c r="H19" s="11">
        <v>14.72</v>
      </c>
      <c r="I19" s="11" t="s">
        <v>36</v>
      </c>
      <c r="J19" s="11">
        <v>8</v>
      </c>
      <c r="K19" s="11">
        <v>5693.53</v>
      </c>
      <c r="L19" s="11" t="s">
        <v>37</v>
      </c>
      <c r="M19" s="11" t="s">
        <v>38</v>
      </c>
      <c r="N19" s="11" t="s">
        <v>24</v>
      </c>
      <c r="O19" s="11" t="s">
        <v>25</v>
      </c>
      <c r="P19" s="12" t="str">
        <f t="shared" si="0"/>
        <v>Normal</v>
      </c>
      <c r="R19" t="b">
        <f>P2=IF(G2&gt;3000,"Carga Pesada","Normal")</f>
        <v>1</v>
      </c>
    </row>
    <row r="20" spans="1:18" x14ac:dyDescent="0.25">
      <c r="A20" s="10" t="s">
        <v>81</v>
      </c>
      <c r="B20" s="11" t="s">
        <v>82</v>
      </c>
      <c r="C20" s="11" t="s">
        <v>17</v>
      </c>
      <c r="D20" s="11" t="s">
        <v>18</v>
      </c>
      <c r="E20" s="11" t="s">
        <v>19</v>
      </c>
      <c r="F20" s="11" t="s">
        <v>20</v>
      </c>
      <c r="G20" s="11">
        <v>4056</v>
      </c>
      <c r="H20" s="11">
        <v>6.62</v>
      </c>
      <c r="I20" s="11" t="s">
        <v>65</v>
      </c>
      <c r="J20" s="11">
        <v>2</v>
      </c>
      <c r="K20" s="11">
        <v>5098.91</v>
      </c>
      <c r="L20" s="11" t="s">
        <v>22</v>
      </c>
      <c r="M20" s="11" t="s">
        <v>83</v>
      </c>
      <c r="N20" s="11" t="s">
        <v>62</v>
      </c>
      <c r="O20" s="11" t="s">
        <v>44</v>
      </c>
      <c r="P20" s="12" t="str">
        <f t="shared" si="0"/>
        <v>Carga Pesada</v>
      </c>
    </row>
    <row r="21" spans="1:18" x14ac:dyDescent="0.25">
      <c r="A21" s="10" t="s">
        <v>45</v>
      </c>
      <c r="B21" s="11" t="s">
        <v>46</v>
      </c>
      <c r="C21" s="11" t="s">
        <v>47</v>
      </c>
      <c r="D21" s="11" t="s">
        <v>48</v>
      </c>
      <c r="E21" s="11" t="s">
        <v>49</v>
      </c>
      <c r="F21" s="11" t="s">
        <v>35</v>
      </c>
      <c r="G21" s="11">
        <v>2146</v>
      </c>
      <c r="H21" s="11">
        <v>39.61</v>
      </c>
      <c r="I21" s="11" t="s">
        <v>36</v>
      </c>
      <c r="J21" s="11">
        <v>7</v>
      </c>
      <c r="K21" s="11">
        <v>4812.75</v>
      </c>
      <c r="L21" s="11" t="s">
        <v>37</v>
      </c>
      <c r="M21" s="11" t="s">
        <v>23</v>
      </c>
      <c r="N21" s="11" t="s">
        <v>24</v>
      </c>
      <c r="O21" s="11" t="s">
        <v>44</v>
      </c>
      <c r="P21" s="12" t="str">
        <f t="shared" si="0"/>
        <v>Normal</v>
      </c>
    </row>
    <row r="22" spans="1:18" x14ac:dyDescent="0.25">
      <c r="A22" s="10" t="s">
        <v>39</v>
      </c>
      <c r="B22" s="11" t="s">
        <v>40</v>
      </c>
      <c r="C22" s="11" t="s">
        <v>28</v>
      </c>
      <c r="D22" s="11" t="s">
        <v>41</v>
      </c>
      <c r="E22" s="11" t="s">
        <v>42</v>
      </c>
      <c r="F22" s="11" t="s">
        <v>20</v>
      </c>
      <c r="G22" s="11">
        <v>3515</v>
      </c>
      <c r="H22" s="11">
        <v>44.6</v>
      </c>
      <c r="I22" s="11" t="s">
        <v>21</v>
      </c>
      <c r="J22" s="11">
        <v>14</v>
      </c>
      <c r="K22" s="11">
        <v>4564.0600000000004</v>
      </c>
      <c r="L22" s="11" t="s">
        <v>43</v>
      </c>
      <c r="M22" s="11" t="s">
        <v>38</v>
      </c>
      <c r="N22" s="11" t="s">
        <v>24</v>
      </c>
      <c r="O22" s="11" t="s">
        <v>44</v>
      </c>
      <c r="P22" s="12" t="str">
        <f t="shared" si="0"/>
        <v>Carga Pesada</v>
      </c>
    </row>
    <row r="23" spans="1:18" x14ac:dyDescent="0.25">
      <c r="A23" s="10" t="s">
        <v>99</v>
      </c>
      <c r="B23" s="11" t="s">
        <v>100</v>
      </c>
      <c r="C23" s="11" t="s">
        <v>28</v>
      </c>
      <c r="D23" s="11" t="s">
        <v>41</v>
      </c>
      <c r="E23" s="11" t="s">
        <v>34</v>
      </c>
      <c r="F23" s="11" t="s">
        <v>53</v>
      </c>
      <c r="G23" s="11">
        <v>3028</v>
      </c>
      <c r="H23" s="11">
        <v>41.55</v>
      </c>
      <c r="I23" s="11" t="s">
        <v>36</v>
      </c>
      <c r="J23" s="11">
        <v>5</v>
      </c>
      <c r="K23" s="11">
        <v>4492.68</v>
      </c>
      <c r="L23" s="11" t="s">
        <v>37</v>
      </c>
      <c r="M23" s="11" t="s">
        <v>55</v>
      </c>
      <c r="N23" s="11" t="s">
        <v>58</v>
      </c>
      <c r="O23" s="11" t="s">
        <v>44</v>
      </c>
      <c r="P23" s="12" t="str">
        <f t="shared" si="0"/>
        <v>Carga Pesada</v>
      </c>
    </row>
    <row r="24" spans="1:18" x14ac:dyDescent="0.25">
      <c r="A24" s="10" t="s">
        <v>59</v>
      </c>
      <c r="B24" s="11" t="s">
        <v>60</v>
      </c>
      <c r="C24" s="11" t="s">
        <v>28</v>
      </c>
      <c r="D24" s="11" t="s">
        <v>52</v>
      </c>
      <c r="E24" s="11" t="s">
        <v>19</v>
      </c>
      <c r="F24" s="11" t="s">
        <v>61</v>
      </c>
      <c r="G24" s="11">
        <v>2730</v>
      </c>
      <c r="H24" s="11">
        <v>2.73</v>
      </c>
      <c r="I24" s="11" t="s">
        <v>21</v>
      </c>
      <c r="J24" s="11">
        <v>13</v>
      </c>
      <c r="K24" s="11">
        <v>4215.8900000000003</v>
      </c>
      <c r="L24" s="11" t="s">
        <v>43</v>
      </c>
      <c r="M24" s="11" t="s">
        <v>23</v>
      </c>
      <c r="N24" s="11" t="s">
        <v>62</v>
      </c>
      <c r="O24" s="11" t="s">
        <v>44</v>
      </c>
      <c r="P24" s="12" t="str">
        <f t="shared" si="0"/>
        <v>Normal</v>
      </c>
    </row>
    <row r="25" spans="1:18" x14ac:dyDescent="0.25">
      <c r="A25" s="10" t="s">
        <v>50</v>
      </c>
      <c r="B25" s="11" t="s">
        <v>51</v>
      </c>
      <c r="C25" s="11" t="s">
        <v>47</v>
      </c>
      <c r="D25" s="11" t="s">
        <v>52</v>
      </c>
      <c r="E25" s="11" t="s">
        <v>34</v>
      </c>
      <c r="F25" s="11" t="s">
        <v>53</v>
      </c>
      <c r="G25" s="11">
        <v>3429</v>
      </c>
      <c r="H25" s="11">
        <v>46.8</v>
      </c>
      <c r="I25" s="11" t="s">
        <v>54</v>
      </c>
      <c r="J25" s="11">
        <v>1</v>
      </c>
      <c r="K25" s="11">
        <v>3888.73</v>
      </c>
      <c r="L25" s="11" t="s">
        <v>43</v>
      </c>
      <c r="M25" s="11" t="s">
        <v>55</v>
      </c>
      <c r="N25" s="11" t="s">
        <v>24</v>
      </c>
      <c r="O25" s="11" t="s">
        <v>25</v>
      </c>
      <c r="P25" s="12" t="str">
        <f t="shared" si="0"/>
        <v>Carga Pesada</v>
      </c>
    </row>
    <row r="26" spans="1:18" x14ac:dyDescent="0.25">
      <c r="A26" s="10" t="s">
        <v>103</v>
      </c>
      <c r="B26" s="11" t="s">
        <v>104</v>
      </c>
      <c r="C26" s="11" t="s">
        <v>47</v>
      </c>
      <c r="D26" s="11" t="s">
        <v>68</v>
      </c>
      <c r="E26" s="11" t="s">
        <v>49</v>
      </c>
      <c r="F26" s="11" t="s">
        <v>35</v>
      </c>
      <c r="G26" s="11">
        <v>769</v>
      </c>
      <c r="H26" s="11">
        <v>2.48</v>
      </c>
      <c r="I26" s="11" t="s">
        <v>21</v>
      </c>
      <c r="J26" s="11">
        <v>15</v>
      </c>
      <c r="K26" s="11">
        <v>3642.2</v>
      </c>
      <c r="L26" s="11" t="s">
        <v>43</v>
      </c>
      <c r="M26" s="11" t="s">
        <v>23</v>
      </c>
      <c r="N26" s="11" t="s">
        <v>24</v>
      </c>
      <c r="O26" s="11" t="s">
        <v>44</v>
      </c>
      <c r="P26" s="12" t="str">
        <f t="shared" si="0"/>
        <v>Normal</v>
      </c>
    </row>
    <row r="27" spans="1:18" x14ac:dyDescent="0.25">
      <c r="A27" s="10" t="s">
        <v>91</v>
      </c>
      <c r="B27" s="11" t="s">
        <v>92</v>
      </c>
      <c r="C27" s="11" t="s">
        <v>88</v>
      </c>
      <c r="D27" s="11" t="s">
        <v>41</v>
      </c>
      <c r="E27" s="11" t="s">
        <v>34</v>
      </c>
      <c r="F27" s="11" t="s">
        <v>75</v>
      </c>
      <c r="G27" s="11">
        <v>1689</v>
      </c>
      <c r="H27" s="11">
        <v>37.94</v>
      </c>
      <c r="I27" s="11" t="s">
        <v>54</v>
      </c>
      <c r="J27" s="11">
        <v>7</v>
      </c>
      <c r="K27" s="11">
        <v>3536.61</v>
      </c>
      <c r="L27" s="11" t="s">
        <v>43</v>
      </c>
      <c r="M27" s="11" t="s">
        <v>23</v>
      </c>
      <c r="N27" s="11" t="s">
        <v>62</v>
      </c>
      <c r="O27" s="11" t="s">
        <v>25</v>
      </c>
      <c r="P27" s="12" t="str">
        <f t="shared" si="0"/>
        <v>Normal</v>
      </c>
    </row>
    <row r="28" spans="1:18" x14ac:dyDescent="0.25">
      <c r="A28" s="10" t="s">
        <v>101</v>
      </c>
      <c r="B28" s="11" t="s">
        <v>70</v>
      </c>
      <c r="C28" s="11" t="s">
        <v>28</v>
      </c>
      <c r="D28" s="11" t="s">
        <v>68</v>
      </c>
      <c r="E28" s="11" t="s">
        <v>49</v>
      </c>
      <c r="F28" s="11" t="s">
        <v>61</v>
      </c>
      <c r="G28" s="11">
        <v>2689</v>
      </c>
      <c r="H28" s="11">
        <v>19.59</v>
      </c>
      <c r="I28" s="11" t="s">
        <v>21</v>
      </c>
      <c r="J28" s="11">
        <v>13</v>
      </c>
      <c r="K28" s="11">
        <v>2770.51</v>
      </c>
      <c r="L28" s="11" t="s">
        <v>78</v>
      </c>
      <c r="M28" s="11" t="s">
        <v>23</v>
      </c>
      <c r="N28" s="11" t="s">
        <v>58</v>
      </c>
      <c r="O28" s="11" t="s">
        <v>25</v>
      </c>
      <c r="P28" s="12" t="str">
        <f t="shared" si="0"/>
        <v>Normal</v>
      </c>
    </row>
    <row r="29" spans="1:18" x14ac:dyDescent="0.25">
      <c r="A29" s="10" t="s">
        <v>97</v>
      </c>
      <c r="B29" s="11" t="s">
        <v>98</v>
      </c>
      <c r="C29" s="11" t="s">
        <v>33</v>
      </c>
      <c r="D29" s="11" t="s">
        <v>18</v>
      </c>
      <c r="E29" s="11" t="s">
        <v>42</v>
      </c>
      <c r="F29" s="11" t="s">
        <v>61</v>
      </c>
      <c r="G29" s="11">
        <v>3917</v>
      </c>
      <c r="H29" s="11">
        <v>10.8</v>
      </c>
      <c r="I29" s="11" t="s">
        <v>54</v>
      </c>
      <c r="J29" s="11">
        <v>3</v>
      </c>
      <c r="K29" s="11">
        <v>2157.96</v>
      </c>
      <c r="L29" s="11" t="s">
        <v>78</v>
      </c>
      <c r="M29" s="11" t="s">
        <v>55</v>
      </c>
      <c r="N29" s="11" t="s">
        <v>62</v>
      </c>
      <c r="O29" s="11" t="s">
        <v>25</v>
      </c>
      <c r="P29" s="12" t="str">
        <f t="shared" si="0"/>
        <v>Carga Pesada</v>
      </c>
    </row>
    <row r="30" spans="1:18" x14ac:dyDescent="0.25">
      <c r="A30" s="10" t="s">
        <v>89</v>
      </c>
      <c r="B30" s="11" t="s">
        <v>90</v>
      </c>
      <c r="C30" s="11" t="s">
        <v>17</v>
      </c>
      <c r="D30" s="11" t="s">
        <v>52</v>
      </c>
      <c r="E30" s="11" t="s">
        <v>49</v>
      </c>
      <c r="F30" s="11" t="s">
        <v>53</v>
      </c>
      <c r="G30" s="11">
        <v>1431</v>
      </c>
      <c r="H30" s="11">
        <v>19.66</v>
      </c>
      <c r="I30" s="11" t="s">
        <v>36</v>
      </c>
      <c r="J30" s="11">
        <v>3</v>
      </c>
      <c r="K30" s="11">
        <v>2012.23</v>
      </c>
      <c r="L30" s="11" t="s">
        <v>29</v>
      </c>
      <c r="M30" s="11" t="s">
        <v>55</v>
      </c>
      <c r="N30" s="11" t="s">
        <v>58</v>
      </c>
      <c r="O30" s="11" t="s">
        <v>30</v>
      </c>
      <c r="P30" s="12" t="str">
        <f t="shared" si="0"/>
        <v>Normal</v>
      </c>
    </row>
    <row r="31" spans="1:18" x14ac:dyDescent="0.25">
      <c r="A31" s="10" t="s">
        <v>15</v>
      </c>
      <c r="B31" s="11" t="s">
        <v>16</v>
      </c>
      <c r="C31" s="11" t="s">
        <v>17</v>
      </c>
      <c r="D31" s="11" t="s">
        <v>18</v>
      </c>
      <c r="E31" s="11" t="s">
        <v>19</v>
      </c>
      <c r="F31" s="11" t="s">
        <v>20</v>
      </c>
      <c r="G31" s="11">
        <v>3702</v>
      </c>
      <c r="H31" s="11">
        <v>7.92</v>
      </c>
      <c r="I31" s="11" t="s">
        <v>21</v>
      </c>
      <c r="J31" s="11">
        <v>13</v>
      </c>
      <c r="K31" s="11">
        <v>1290.76</v>
      </c>
      <c r="L31" s="11" t="s">
        <v>22</v>
      </c>
      <c r="M31" s="11" t="s">
        <v>23</v>
      </c>
      <c r="N31" s="11" t="s">
        <v>24</v>
      </c>
      <c r="O31" s="11" t="s">
        <v>25</v>
      </c>
      <c r="P31" s="12" t="str">
        <f t="shared" si="0"/>
        <v>Carga Pesada</v>
      </c>
    </row>
    <row r="32" spans="1:18" x14ac:dyDescent="0.25">
      <c r="A32" s="10" t="s">
        <v>111</v>
      </c>
      <c r="B32" s="11" t="s">
        <v>32</v>
      </c>
      <c r="C32" s="11" t="s">
        <v>33</v>
      </c>
      <c r="D32" s="11" t="s">
        <v>41</v>
      </c>
      <c r="E32" s="11" t="s">
        <v>49</v>
      </c>
      <c r="F32" s="11" t="s">
        <v>20</v>
      </c>
      <c r="G32" s="11">
        <v>1151</v>
      </c>
      <c r="H32" s="11">
        <v>48.12</v>
      </c>
      <c r="I32" s="11" t="s">
        <v>65</v>
      </c>
      <c r="J32" s="11">
        <v>11</v>
      </c>
      <c r="K32" s="11">
        <v>1217.1600000000001</v>
      </c>
      <c r="L32" s="11" t="s">
        <v>29</v>
      </c>
      <c r="M32" s="11" t="s">
        <v>38</v>
      </c>
      <c r="N32" s="11" t="s">
        <v>24</v>
      </c>
      <c r="O32" s="11" t="s">
        <v>30</v>
      </c>
      <c r="P32" s="12" t="str">
        <f t="shared" si="0"/>
        <v>Normal</v>
      </c>
    </row>
    <row r="33" spans="1:16" x14ac:dyDescent="0.25">
      <c r="A33" s="10" t="s">
        <v>69</v>
      </c>
      <c r="B33" s="11" t="s">
        <v>70</v>
      </c>
      <c r="C33" s="11" t="s">
        <v>33</v>
      </c>
      <c r="D33" s="11" t="s">
        <v>18</v>
      </c>
      <c r="E33" s="11" t="s">
        <v>34</v>
      </c>
      <c r="F33" s="11" t="s">
        <v>53</v>
      </c>
      <c r="G33" s="11">
        <v>3179</v>
      </c>
      <c r="H33" s="11">
        <v>2.12</v>
      </c>
      <c r="I33" s="11" t="s">
        <v>54</v>
      </c>
      <c r="J33" s="11">
        <v>14</v>
      </c>
      <c r="K33" s="11">
        <v>1098.44</v>
      </c>
      <c r="L33" s="11" t="s">
        <v>22</v>
      </c>
      <c r="M33" s="11" t="s">
        <v>23</v>
      </c>
      <c r="N33" s="11" t="s">
        <v>24</v>
      </c>
      <c r="O33" s="11" t="s">
        <v>30</v>
      </c>
      <c r="P33" s="12" t="str">
        <f t="shared" si="0"/>
        <v>Carga Pesada</v>
      </c>
    </row>
    <row r="34" spans="1:16" x14ac:dyDescent="0.25">
      <c r="A34" s="10" t="s">
        <v>112</v>
      </c>
      <c r="B34" s="11" t="s">
        <v>113</v>
      </c>
      <c r="C34" s="11" t="s">
        <v>88</v>
      </c>
      <c r="D34" s="11" t="s">
        <v>68</v>
      </c>
      <c r="E34" s="11" t="s">
        <v>49</v>
      </c>
      <c r="F34" s="11" t="s">
        <v>20</v>
      </c>
      <c r="G34" s="11">
        <v>2514</v>
      </c>
      <c r="H34" s="11">
        <v>42.55</v>
      </c>
      <c r="I34" s="11" t="s">
        <v>36</v>
      </c>
      <c r="J34" s="11">
        <v>6</v>
      </c>
      <c r="K34" s="11">
        <v>846.83</v>
      </c>
      <c r="L34" s="11" t="s">
        <v>29</v>
      </c>
      <c r="M34" s="11" t="s">
        <v>23</v>
      </c>
      <c r="N34" s="11" t="s">
        <v>62</v>
      </c>
      <c r="O34" s="11" t="s">
        <v>25</v>
      </c>
      <c r="P34" s="12" t="str">
        <f t="shared" si="0"/>
        <v>Normal</v>
      </c>
    </row>
    <row r="35" spans="1:16" x14ac:dyDescent="0.25">
      <c r="A35" s="10" t="s">
        <v>71</v>
      </c>
      <c r="B35" s="11" t="s">
        <v>72</v>
      </c>
      <c r="C35" s="11" t="s">
        <v>28</v>
      </c>
      <c r="D35" s="11" t="s">
        <v>48</v>
      </c>
      <c r="E35" s="11" t="s">
        <v>19</v>
      </c>
      <c r="F35" s="11" t="s">
        <v>53</v>
      </c>
      <c r="G35" s="11">
        <v>1399</v>
      </c>
      <c r="H35" s="11">
        <v>46.11</v>
      </c>
      <c r="I35" s="11" t="s">
        <v>65</v>
      </c>
      <c r="J35" s="11">
        <v>2</v>
      </c>
      <c r="K35" s="11">
        <v>800.6</v>
      </c>
      <c r="L35" s="11" t="s">
        <v>22</v>
      </c>
      <c r="M35" s="11" t="s">
        <v>38</v>
      </c>
      <c r="N35" s="11" t="s">
        <v>58</v>
      </c>
      <c r="O35" s="11" t="s">
        <v>44</v>
      </c>
      <c r="P35" s="12" t="str">
        <f t="shared" si="0"/>
        <v>Normal</v>
      </c>
    </row>
    <row r="36" spans="1:16" x14ac:dyDescent="0.25">
      <c r="A36" s="13" t="s">
        <v>107</v>
      </c>
      <c r="B36" s="14" t="s">
        <v>108</v>
      </c>
      <c r="C36" s="14" t="s">
        <v>47</v>
      </c>
      <c r="D36" s="14" t="s">
        <v>52</v>
      </c>
      <c r="E36" s="14" t="s">
        <v>42</v>
      </c>
      <c r="F36" s="14" t="s">
        <v>53</v>
      </c>
      <c r="G36" s="14">
        <v>3371</v>
      </c>
      <c r="H36" s="14">
        <v>15.67</v>
      </c>
      <c r="I36" s="14" t="s">
        <v>54</v>
      </c>
      <c r="J36" s="14">
        <v>5</v>
      </c>
      <c r="K36" s="14">
        <v>552.89</v>
      </c>
      <c r="L36" s="14" t="s">
        <v>29</v>
      </c>
      <c r="M36" s="14" t="s">
        <v>23</v>
      </c>
      <c r="N36" s="14" t="s">
        <v>24</v>
      </c>
      <c r="O36" s="14" t="s">
        <v>25</v>
      </c>
      <c r="P36" s="15" t="str">
        <f t="shared" si="0"/>
        <v>Carga Pesada</v>
      </c>
    </row>
  </sheetData>
  <dataConsolidate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3ECC-A5D0-4193-8E77-B7BDD844F390}">
  <dimension ref="A3:F42"/>
  <sheetViews>
    <sheetView topLeftCell="A18" workbookViewId="0">
      <selection activeCell="E36" sqref="E36"/>
    </sheetView>
  </sheetViews>
  <sheetFormatPr defaultRowHeight="15" x14ac:dyDescent="0.25"/>
  <cols>
    <col min="1" max="1" width="18.28515625" style="2" bestFit="1" customWidth="1"/>
    <col min="2" max="2" width="18" style="2" bestFit="1" customWidth="1"/>
    <col min="3" max="3" width="31.42578125" style="2" bestFit="1" customWidth="1"/>
    <col min="4" max="4" width="18.28515625" style="2" bestFit="1" customWidth="1"/>
    <col min="5" max="5" width="32.28515625" style="2" bestFit="1" customWidth="1"/>
    <col min="6" max="6" width="6.5703125" style="2" bestFit="1" customWidth="1"/>
    <col min="7" max="16384" width="9.140625" style="2"/>
  </cols>
  <sheetData>
    <row r="3" spans="1:6" x14ac:dyDescent="0.25">
      <c r="A3" s="1" t="s">
        <v>4</v>
      </c>
      <c r="B3" s="1" t="s">
        <v>122</v>
      </c>
      <c r="D3" s="1" t="s">
        <v>124</v>
      </c>
      <c r="E3"/>
    </row>
    <row r="4" spans="1:6" x14ac:dyDescent="0.25">
      <c r="A4" s="3" t="s">
        <v>49</v>
      </c>
      <c r="B4" s="1">
        <v>41242.1</v>
      </c>
      <c r="D4" s="4">
        <v>35</v>
      </c>
      <c r="E4"/>
    </row>
    <row r="5" spans="1:6" x14ac:dyDescent="0.25">
      <c r="A5" s="3" t="s">
        <v>42</v>
      </c>
      <c r="B5" s="1">
        <v>44371.56</v>
      </c>
      <c r="D5"/>
      <c r="E5"/>
    </row>
    <row r="6" spans="1:6" x14ac:dyDescent="0.25">
      <c r="A6" s="3" t="s">
        <v>19</v>
      </c>
      <c r="B6" s="1">
        <v>35231.089999999997</v>
      </c>
      <c r="D6"/>
      <c r="E6"/>
    </row>
    <row r="7" spans="1:6" x14ac:dyDescent="0.25">
      <c r="A7" s="3" t="s">
        <v>34</v>
      </c>
      <c r="B7" s="1">
        <v>99731.99</v>
      </c>
      <c r="D7" s="1" t="s">
        <v>4</v>
      </c>
      <c r="E7" s="1" t="s">
        <v>121</v>
      </c>
      <c r="F7"/>
    </row>
    <row r="8" spans="1:6" x14ac:dyDescent="0.25">
      <c r="D8" s="3" t="s">
        <v>35</v>
      </c>
      <c r="E8" s="4">
        <v>18182</v>
      </c>
      <c r="F8"/>
    </row>
    <row r="9" spans="1:6" x14ac:dyDescent="0.25">
      <c r="D9" s="3" t="s">
        <v>75</v>
      </c>
      <c r="E9" s="4">
        <v>10799</v>
      </c>
      <c r="F9"/>
    </row>
    <row r="10" spans="1:6" x14ac:dyDescent="0.25">
      <c r="D10" s="3" t="s">
        <v>53</v>
      </c>
      <c r="E10" s="4">
        <v>33453</v>
      </c>
      <c r="F10"/>
    </row>
    <row r="11" spans="1:6" x14ac:dyDescent="0.25">
      <c r="A11" s="1" t="s">
        <v>4</v>
      </c>
      <c r="B11" s="1" t="s">
        <v>123</v>
      </c>
      <c r="D11" s="3" t="s">
        <v>61</v>
      </c>
      <c r="E11" s="4">
        <v>13074</v>
      </c>
      <c r="F11"/>
    </row>
    <row r="12" spans="1:6" x14ac:dyDescent="0.25">
      <c r="A12" s="3" t="s">
        <v>49</v>
      </c>
      <c r="B12" s="4">
        <v>8.5555555555555554</v>
      </c>
      <c r="D12" s="3" t="s">
        <v>20</v>
      </c>
      <c r="E12" s="4">
        <v>18921</v>
      </c>
      <c r="F12"/>
    </row>
    <row r="13" spans="1:6" x14ac:dyDescent="0.25">
      <c r="A13" s="3" t="s">
        <v>42</v>
      </c>
      <c r="B13" s="4">
        <v>9</v>
      </c>
      <c r="D13"/>
      <c r="E13"/>
    </row>
    <row r="14" spans="1:6" x14ac:dyDescent="0.25">
      <c r="A14" s="3" t="s">
        <v>19</v>
      </c>
      <c r="B14" s="4">
        <v>7.8571428571428568</v>
      </c>
      <c r="D14"/>
      <c r="E14"/>
    </row>
    <row r="15" spans="1:6" x14ac:dyDescent="0.25">
      <c r="A15" s="3" t="s">
        <v>34</v>
      </c>
      <c r="B15" s="4">
        <v>9.6666666666666661</v>
      </c>
      <c r="D15" s="1" t="s">
        <v>4</v>
      </c>
      <c r="E15" s="1" t="s">
        <v>125</v>
      </c>
    </row>
    <row r="16" spans="1:6" x14ac:dyDescent="0.25">
      <c r="D16" s="3" t="s">
        <v>44</v>
      </c>
      <c r="E16" s="6">
        <v>6550.1641666666665</v>
      </c>
    </row>
    <row r="17" spans="1:6" x14ac:dyDescent="0.25">
      <c r="D17" s="3" t="s">
        <v>30</v>
      </c>
      <c r="E17" s="6">
        <v>6445.5862500000003</v>
      </c>
    </row>
    <row r="18" spans="1:6" x14ac:dyDescent="0.25">
      <c r="A18" s="1" t="s">
        <v>126</v>
      </c>
      <c r="B18"/>
      <c r="D18" s="3" t="s">
        <v>25</v>
      </c>
      <c r="E18" s="6">
        <v>6027.3386666666675</v>
      </c>
    </row>
    <row r="19" spans="1:6" x14ac:dyDescent="0.25">
      <c r="A19" s="4">
        <v>14627.84</v>
      </c>
      <c r="B19"/>
      <c r="D19"/>
      <c r="E19"/>
    </row>
    <row r="20" spans="1:6" x14ac:dyDescent="0.25">
      <c r="D20"/>
      <c r="E20"/>
    </row>
    <row r="21" spans="1:6" x14ac:dyDescent="0.25">
      <c r="D21"/>
      <c r="E21"/>
    </row>
    <row r="22" spans="1:6" x14ac:dyDescent="0.25">
      <c r="B22" s="1" t="s">
        <v>128</v>
      </c>
      <c r="D22"/>
      <c r="E22"/>
    </row>
    <row r="23" spans="1:6" x14ac:dyDescent="0.25">
      <c r="B23" s="4">
        <v>552.89</v>
      </c>
      <c r="D23"/>
      <c r="E23"/>
    </row>
    <row r="24" spans="1:6" x14ac:dyDescent="0.25">
      <c r="A24" s="1" t="s">
        <v>124</v>
      </c>
      <c r="B24"/>
      <c r="C24"/>
      <c r="D24"/>
      <c r="E24"/>
    </row>
    <row r="25" spans="1:6" x14ac:dyDescent="0.25">
      <c r="A25" s="4">
        <v>35</v>
      </c>
      <c r="B25"/>
      <c r="C25" s="1" t="s">
        <v>120</v>
      </c>
      <c r="D25"/>
      <c r="E25"/>
    </row>
    <row r="26" spans="1:6" x14ac:dyDescent="0.25">
      <c r="A26"/>
      <c r="B26"/>
      <c r="C26" s="4">
        <v>220576.74000000002</v>
      </c>
      <c r="D26"/>
      <c r="E26"/>
    </row>
    <row r="27" spans="1:6" x14ac:dyDescent="0.25">
      <c r="A27" s="1" t="s">
        <v>4</v>
      </c>
      <c r="B27" s="1" t="s">
        <v>121</v>
      </c>
      <c r="C27"/>
      <c r="D27"/>
      <c r="E27"/>
      <c r="F27"/>
    </row>
    <row r="28" spans="1:6" x14ac:dyDescent="0.25">
      <c r="A28" s="3" t="s">
        <v>52</v>
      </c>
      <c r="B28" s="4">
        <v>10961</v>
      </c>
      <c r="C28"/>
      <c r="D28"/>
      <c r="E28"/>
      <c r="F28"/>
    </row>
    <row r="29" spans="1:6" x14ac:dyDescent="0.25">
      <c r="A29" s="3" t="s">
        <v>48</v>
      </c>
      <c r="B29" s="4">
        <v>27581</v>
      </c>
      <c r="C29"/>
      <c r="D29"/>
      <c r="E29"/>
      <c r="F29"/>
    </row>
    <row r="30" spans="1:6" x14ac:dyDescent="0.25">
      <c r="A30" s="3" t="s">
        <v>68</v>
      </c>
      <c r="B30" s="4">
        <v>10714</v>
      </c>
      <c r="C30"/>
      <c r="D30"/>
      <c r="E30"/>
    </row>
    <row r="31" spans="1:6" x14ac:dyDescent="0.25">
      <c r="A31" s="3" t="s">
        <v>41</v>
      </c>
      <c r="B31" s="4">
        <v>18891</v>
      </c>
      <c r="C31"/>
      <c r="D31"/>
      <c r="E31"/>
    </row>
    <row r="32" spans="1:6" x14ac:dyDescent="0.25">
      <c r="A32" s="3" t="s">
        <v>18</v>
      </c>
      <c r="B32" s="4">
        <v>26282</v>
      </c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  <row r="37" spans="1:5" x14ac:dyDescent="0.25">
      <c r="A37"/>
      <c r="B37"/>
      <c r="C37"/>
      <c r="D37"/>
      <c r="E37"/>
    </row>
    <row r="38" spans="1:5" x14ac:dyDescent="0.25">
      <c r="A38"/>
      <c r="B38"/>
      <c r="C38"/>
      <c r="D38"/>
      <c r="E38"/>
    </row>
    <row r="39" spans="1:5" x14ac:dyDescent="0.25">
      <c r="A39"/>
      <c r="B39"/>
      <c r="C39"/>
      <c r="D39"/>
      <c r="E39"/>
    </row>
    <row r="40" spans="1:5" x14ac:dyDescent="0.25">
      <c r="A40"/>
      <c r="B40"/>
      <c r="C40"/>
      <c r="D40"/>
      <c r="E40"/>
    </row>
    <row r="41" spans="1:5" x14ac:dyDescent="0.25">
      <c r="A41"/>
      <c r="B41"/>
      <c r="C41"/>
      <c r="D41"/>
      <c r="E41"/>
    </row>
    <row r="42" spans="1:5" x14ac:dyDescent="0.25">
      <c r="D42"/>
      <c r="E4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527A-4B87-431C-9005-13620928B89A}">
  <dimension ref="K15"/>
  <sheetViews>
    <sheetView tabSelected="1" zoomScale="84" zoomScaleNormal="84" workbookViewId="0">
      <selection activeCell="X19" sqref="X19"/>
    </sheetView>
  </sheetViews>
  <sheetFormatPr defaultRowHeight="15" x14ac:dyDescent="0.25"/>
  <sheetData>
    <row r="15" spans="11:11" x14ac:dyDescent="0.25">
      <c r="K15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Logistica</vt:lpstr>
      <vt:lpstr>Planilha1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Nkeye Vanga</cp:lastModifiedBy>
  <dcterms:created xsi:type="dcterms:W3CDTF">2026-05-20T14:47:29Z</dcterms:created>
  <dcterms:modified xsi:type="dcterms:W3CDTF">2026-05-20T18:06:50Z</dcterms:modified>
</cp:coreProperties>
</file>